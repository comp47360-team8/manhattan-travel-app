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Backlog" sheetId="2" r:id="rId5"/>
    <sheet state="visible" name="Burndown chart" sheetId="3" r:id="rId6"/>
    <sheet state="visible" name="Timeline" sheetId="4" r:id="rId7"/>
    <sheet state="visible" name="Budget" sheetId="5" r:id="rId8"/>
  </sheets>
  <definedNames/>
  <calcPr/>
  <extLst>
    <ext uri="GoogleSheetsCustomDataVersion2">
      <go:sheetsCustomData xmlns:go="http://customooxmlschemas.google.com/" r:id="rId9" roundtripDataChecksum="DignKmbabTKwcXRZH3yjkRVnvxeolPyQLhfApw0TAcA="/>
    </ext>
  </extLst>
</workbook>
</file>

<file path=xl/sharedStrings.xml><?xml version="1.0" encoding="utf-8"?>
<sst xmlns="http://schemas.openxmlformats.org/spreadsheetml/2006/main" count="994" uniqueCount="244">
  <si>
    <t>Sprint Backlog Summary</t>
  </si>
  <si>
    <t>COMP47360 Research Practicum — Sprint Backlog</t>
  </si>
  <si>
    <t>Gantt Chart</t>
  </si>
  <si>
    <t>Auto-reconciled with Project Budget · Total target: 1,236 hours</t>
  </si>
  <si>
    <t>Sprint 1</t>
  </si>
  <si>
    <t>Sprint</t>
  </si>
  <si>
    <t>Planning Mode</t>
  </si>
  <si>
    <t>Kickoff</t>
  </si>
  <si>
    <t>Tasks</t>
  </si>
  <si>
    <t>Hours Planned</t>
  </si>
  <si>
    <t>% of Budget</t>
  </si>
  <si>
    <t>Sprint 2</t>
  </si>
  <si>
    <t>Epic</t>
  </si>
  <si>
    <t>Sprint 3</t>
  </si>
  <si>
    <t>Task</t>
  </si>
  <si>
    <t>Sprint 4</t>
  </si>
  <si>
    <t>Estimated Hours</t>
  </si>
  <si>
    <t>Real
Hours</t>
  </si>
  <si>
    <t>Sprint 5</t>
  </si>
  <si>
    <t>Completion Date</t>
  </si>
  <si>
    <t>Detailed</t>
  </si>
  <si>
    <t>Nancy</t>
  </si>
  <si>
    <t>Submit</t>
  </si>
  <si>
    <t>Hansel</t>
  </si>
  <si>
    <t>Alison</t>
  </si>
  <si>
    <t>Eoin</t>
  </si>
  <si>
    <t>Sean</t>
  </si>
  <si>
    <t>Status</t>
  </si>
  <si>
    <t>Budget Category</t>
  </si>
  <si>
    <t>Person</t>
  </si>
  <si>
    <t>Est.h</t>
  </si>
  <si>
    <t>Status (see Backlog)</t>
  </si>
  <si>
    <t>PM</t>
  </si>
  <si>
    <t>W1
18 May</t>
  </si>
  <si>
    <t>Personas &amp; interviews</t>
  </si>
  <si>
    <t>W2
25 May</t>
  </si>
  <si>
    <t>W3
1 Jun</t>
  </si>
  <si>
    <t>W4
8 Jun</t>
  </si>
  <si>
    <t>W5
15 Jun</t>
  </si>
  <si>
    <t>W6
22 Jun</t>
  </si>
  <si>
    <t>W7
29 Jun</t>
  </si>
  <si>
    <t>W8
6 Jul</t>
  </si>
  <si>
    <t>W9
13 Jul</t>
  </si>
  <si>
    <t>W10
20 Jul</t>
  </si>
  <si>
    <t>Completed</t>
  </si>
  <si>
    <t>W11
27 Jul</t>
  </si>
  <si>
    <t>1. Requirements &amp; Research</t>
  </si>
  <si>
    <t>W12
3 Aug</t>
  </si>
  <si>
    <t>Research competitors</t>
  </si>
  <si>
    <t xml:space="preserve">  Nancy</t>
  </si>
  <si>
    <t>Develop early prototypes &amp; mockups</t>
  </si>
  <si>
    <t>2. Design (UX/UI)</t>
  </si>
  <si>
    <t>Infra</t>
  </si>
  <si>
    <t>Select technologies</t>
  </si>
  <si>
    <t>●</t>
  </si>
  <si>
    <t>3. Backend Development</t>
  </si>
  <si>
    <t>Define user stories &amp; acceptance criteria</t>
  </si>
  <si>
    <t>10. Project Management</t>
  </si>
  <si>
    <t>Create budget</t>
  </si>
  <si>
    <t>Create GitHub Repository</t>
  </si>
  <si>
    <t>High-level (rolling wave)</t>
  </si>
  <si>
    <t>9. Deployment &amp; DevOps</t>
  </si>
  <si>
    <t>Define Git workflow</t>
  </si>
  <si>
    <t>ML / Data</t>
  </si>
  <si>
    <t>Crowd data feasibility spike (NYC Open Data)</t>
  </si>
  <si>
    <t>6. ML / Data Engineering</t>
  </si>
  <si>
    <t>React-Vite + TypeScript env</t>
  </si>
  <si>
    <t>Total</t>
  </si>
  <si>
    <t>4. Web Frontend</t>
  </si>
  <si>
    <t>Mobile env</t>
  </si>
  <si>
    <t>5. Mobile Development</t>
  </si>
  <si>
    <t>Auth</t>
  </si>
  <si>
    <t>Initial frontend structure (no features)</t>
  </si>
  <si>
    <t>Initialise FastAPI backend env</t>
  </si>
  <si>
    <t>UX strategy (web vs mobile differentiation)</t>
  </si>
  <si>
    <t>Budget target</t>
  </si>
  <si>
    <t>Sprint 1 Total</t>
  </si>
  <si>
    <t>Variance</t>
  </si>
  <si>
    <t>Mid-fidelity wireframes (4 core screens)</t>
  </si>
  <si>
    <t xml:space="preserve">Sprint 2  </t>
  </si>
  <si>
    <t>Sprint 2 ceremonies + retro</t>
  </si>
  <si>
    <t>Sprint 1 Burndown Chart</t>
  </si>
  <si>
    <t>Sprint 1: 25 May - 05 Jun 2026 · Total planned: 204h · Working days: 10</t>
  </si>
  <si>
    <t>High-fi mockups (AI-accelerated, core flow)</t>
  </si>
  <si>
    <t>Auth API setup (Firebase)</t>
  </si>
  <si>
    <t>Day</t>
  </si>
  <si>
    <t>Date</t>
  </si>
  <si>
    <t>Story point</t>
  </si>
  <si>
    <t>Auth flow UI (Web)</t>
  </si>
  <si>
    <t>Done Today</t>
  </si>
  <si>
    <t>Cumulative Done</t>
  </si>
  <si>
    <t>Polish edge cases + empty states</t>
  </si>
  <si>
    <t>Actual Remaining</t>
  </si>
  <si>
    <t>User testing prep + recruitment</t>
  </si>
  <si>
    <t>Bottom navigation component (Web)</t>
  </si>
  <si>
    <t>Sprint 3 ceremonies + retro</t>
  </si>
  <si>
    <t>Auth flow + Nav (Mobile)</t>
  </si>
  <si>
    <t>Explore</t>
  </si>
  <si>
    <t>POI database schema + initial 30 POIs</t>
  </si>
  <si>
    <t>A/B testing setup + 1 design test</t>
  </si>
  <si>
    <t>GET /pois + GET /poi/{id} endpoints</t>
  </si>
  <si>
    <t>User testing sessions (target users)</t>
  </si>
  <si>
    <t>POI popularity flag + Save/Unsave POI API endpoints</t>
  </si>
  <si>
    <t>Literature review (parallel, continuous)</t>
  </si>
  <si>
    <t>Explore tab UI + Save icon on POI cards (Web)</t>
  </si>
  <si>
    <t>Sprint 4 ceremonies + retro</t>
  </si>
  <si>
    <t>POI Detail page UI (Web)</t>
  </si>
  <si>
    <t>Demo preparation + rehearsal</t>
  </si>
  <si>
    <t>Explore tab + POI Detail (Mobile)</t>
  </si>
  <si>
    <t>Final paper writing</t>
  </si>
  <si>
    <t>Provide data quality report</t>
  </si>
  <si>
    <t>Documentation cleanup</t>
  </si>
  <si>
    <t>Provide peliminary integrated dataset</t>
  </si>
  <si>
    <t>Sprint 5 ceremonies + final retro</t>
  </si>
  <si>
    <t>My Itinerary</t>
  </si>
  <si>
    <t>My Itinerary tab shell + date picker (Web)</t>
  </si>
  <si>
    <t>Summary</t>
  </si>
  <si>
    <t>My Itinerary tab shell + date picker (Mobile)</t>
  </si>
  <si>
    <t>Total Story point</t>
  </si>
  <si>
    <t xml:space="preserve">  Hansel</t>
  </si>
  <si>
    <t>Total Completed</t>
  </si>
  <si>
    <t>Mid-fidelity wireframes (AI-accelerated, 4 core screens)</t>
  </si>
  <si>
    <t>Remaining</t>
  </si>
  <si>
    <t>AI Planner</t>
  </si>
  <si>
    <t>AI Planner Spike — API + session memory POC</t>
  </si>
  <si>
    <t>Sprint 2 Total</t>
  </si>
  <si>
    <t>Completion %</t>
  </si>
  <si>
    <t>Map POIs to nearest subway station</t>
  </si>
  <si>
    <t>Fallback msg: Crowd Forecast (no POI data)</t>
  </si>
  <si>
    <t>POI database schema + initial 30 POIs [Carryover]</t>
  </si>
  <si>
    <t>Crowd Forecast chart UI (Web)</t>
  </si>
  <si>
    <t>Crowd Forecast chart UI (Mobile)</t>
  </si>
  <si>
    <t>Finalised busyness formula and result grade</t>
  </si>
  <si>
    <t>ML preparation: Training plan, initial result</t>
  </si>
  <si>
    <t>Itinerary generation core engine (Rule-based &amp; AI core scheduling logic)</t>
  </si>
  <si>
    <t>POI popularity flag + Save/Unsave POI API</t>
  </si>
  <si>
    <t>Crowd data integration + Itinerary Generation &amp; Update API endpoints</t>
  </si>
  <si>
    <t>5 POI/day + geographic proximity allocation algorithm</t>
  </si>
  <si>
    <t>My Itinerary 4-section UI (Search/Selected/Saved/Popular) — Web</t>
  </si>
  <si>
    <t>Itinerary generation core engine (AI scheduling)</t>
  </si>
  <si>
    <t>Itinerary view page (scheduled output) — Web</t>
  </si>
  <si>
    <t>"Why this time" UI integration (Web)</t>
  </si>
  <si>
    <t>Crowd data integration + API endpoints</t>
  </si>
  <si>
    <t>Loading &amp; error states (Web)</t>
  </si>
  <si>
    <t>5 POI/day + geographic proximity algorithm</t>
  </si>
  <si>
    <t>Itinerary view (Infinite scroll scheduled output) — Mobile</t>
  </si>
  <si>
    <t>"Why this time" + states (Mobile)</t>
  </si>
  <si>
    <t>Integrate ML predictions with backend</t>
  </si>
  <si>
    <t>Itinerary Editor (Dropdown Pill time-change &amp; Hover-remove) — Web</t>
  </si>
  <si>
    <t>In Progress</t>
  </si>
  <si>
    <t>My Itinerary 4-section UI (Mobile)</t>
  </si>
  <si>
    <t>AI Planner backend (Gemini + session memory)</t>
  </si>
  <si>
    <t>Fallback msg: "Why this time" (no ML data)</t>
  </si>
  <si>
    <t>EC2 &amp; Vercel setup</t>
  </si>
  <si>
    <t>Route API integration (Mapbox)</t>
  </si>
  <si>
    <t>Sprint 2 Burndown Chart</t>
  </si>
  <si>
    <t>User testing prep</t>
  </si>
  <si>
    <t>8. Testing &amp; QA</t>
  </si>
  <si>
    <t xml:space="preserve">Sprint 1:  08 Jun 2026 - 19 Jun 2026 </t>
  </si>
  <si>
    <t>Database setup (PostGIS)</t>
  </si>
  <si>
    <t>Sprint 3 Total</t>
  </si>
  <si>
    <t>Performance optimization</t>
  </si>
  <si>
    <t>Filter POIs by interest / accessibility</t>
  </si>
  <si>
    <t>Profile</t>
  </si>
  <si>
    <t>Profile tab (Web)</t>
  </si>
  <si>
    <t>Final deployment + monitoring</t>
  </si>
  <si>
    <t>Profile tab (Mobile)</t>
  </si>
  <si>
    <t xml:space="preserve">  Alison</t>
  </si>
  <si>
    <t>AI Planner UI (Web)</t>
  </si>
  <si>
    <t>AI Planner UI (Mobile)</t>
  </si>
  <si>
    <t>Deployment</t>
  </si>
  <si>
    <t>Evaluate ML model (metrics, validation)</t>
  </si>
  <si>
    <t>Provide preliminary integrated dataset</t>
  </si>
  <si>
    <t>In-line Itinerary Editor — Mobile</t>
  </si>
  <si>
    <t>Saved</t>
  </si>
  <si>
    <t>Saved tab functional (Web)</t>
  </si>
  <si>
    <t>Saved tab functional (Mobile)</t>
  </si>
  <si>
    <t>UAT Test</t>
  </si>
  <si>
    <t>Unit Test</t>
  </si>
  <si>
    <t>Literature review</t>
  </si>
  <si>
    <t>Sprint 4 Total</t>
  </si>
  <si>
    <t>Integration testing + bug fixes</t>
  </si>
  <si>
    <t>Final user testing + iterations</t>
  </si>
  <si>
    <t xml:space="preserve">  Eoin</t>
  </si>
  <si>
    <t>Sprint 5 Total</t>
  </si>
  <si>
    <t>Sprint 3 Burndown Chart</t>
  </si>
  <si>
    <t>My Itinerary 4-section UI (Web)</t>
  </si>
  <si>
    <t xml:space="preserve">Sprint 1:  22 Jun 2026 - 3 July 2026 </t>
  </si>
  <si>
    <t>Itinerary view page (Web)</t>
  </si>
  <si>
    <t>"Why this time" UI (Web)</t>
  </si>
  <si>
    <t>In-line Itinerary Editor (Web)</t>
  </si>
  <si>
    <t>Route display component (Web)</t>
  </si>
  <si>
    <t>"Surprise Me" entry on Explore</t>
  </si>
  <si>
    <t>Polish UI + animations</t>
  </si>
  <si>
    <t xml:space="preserve">  Sean</t>
  </si>
  <si>
    <t>Itinerary view (Mobile)</t>
  </si>
  <si>
    <t>In-line Itinerary Editor (Mobile)</t>
  </si>
  <si>
    <t>Route display component (Mobile)</t>
  </si>
  <si>
    <t>Sprint 4 Burndown Chart</t>
  </si>
  <si>
    <t>Sprint 4: 6 Jul 2026 - 17 Jul 2026</t>
  </si>
  <si>
    <t>KEY MILESTONES</t>
  </si>
  <si>
    <t>📌</t>
  </si>
  <si>
    <t>Sprint 1 Review (in person)</t>
  </si>
  <si>
    <t>5 Jun 2026</t>
  </si>
  <si>
    <t>★</t>
  </si>
  <si>
    <t>Sprint 2 Review + Presentations 1+2</t>
  </si>
  <si>
    <t>19 Jun 2026</t>
  </si>
  <si>
    <t>Sprint 3 Review + Presentations 3+4</t>
  </si>
  <si>
    <t>3 Jul 2026</t>
  </si>
  <si>
    <t>Sprint 4 Review + Presentations 5+6</t>
  </si>
  <si>
    <t>17 Jul 2026</t>
  </si>
  <si>
    <t>Public Demo</t>
  </si>
  <si>
    <t>28 Jul 2026</t>
  </si>
  <si>
    <t>Viva Interviews</t>
  </si>
  <si>
    <t>29–30 Jul 2026</t>
  </si>
  <si>
    <t>Group Paper + Repo Submission</t>
  </si>
  <si>
    <t>7 Aug 2026</t>
  </si>
  <si>
    <t>Sprint 5 Burndown Chart</t>
  </si>
  <si>
    <t>Sprint 5: 20 Jul 2026 - 31 Jul 2026</t>
  </si>
  <si>
    <t xml:space="preserve">Offpeak — Project Budget </t>
  </si>
  <si>
    <t>Activity</t>
  </si>
  <si>
    <t>Budget Base
(h)</t>
  </si>
  <si>
    <t>Planned Hours
(Backlog Est.)</t>
  </si>
  <si>
    <t>Actual Hours
(Backlog Real)</t>
  </si>
  <si>
    <t>Variance
(Plan−Actual)</t>
  </si>
  <si>
    <t>% Used</t>
  </si>
  <si>
    <t>Buffer 30%
(h)</t>
  </si>
  <si>
    <t>Total Budget
(h)</t>
  </si>
  <si>
    <t>Tools / Services</t>
  </si>
  <si>
    <t>Actual Cost
(€)</t>
  </si>
  <si>
    <t>Budget Cost
(€)</t>
  </si>
  <si>
    <t>Remaining
(€)</t>
  </si>
  <si>
    <t>User interviews, competitor reviews, literature review, POI curation</t>
  </si>
  <si>
    <t>Figma (Free Plan)</t>
  </si>
  <si>
    <t>Firebase Auth, FastAPI, PostGIS (Free Tier)</t>
  </si>
  <si>
    <t>React-Vite, Vercel (Free Tier)</t>
  </si>
  <si>
    <t>React Native / PWA</t>
  </si>
  <si>
    <t>NYC Open Data, Prophet/Pandas (open source), Gemini API</t>
  </si>
  <si>
    <t>7. Integration</t>
  </si>
  <si>
    <t>Mapbox Directions API (Free Tier)</t>
  </si>
  <si>
    <t>User testing sessions with target users</t>
  </si>
  <si>
    <t>AWS EC2 (Free Tier), Vercel hosting</t>
  </si>
  <si>
    <t>Trello, Google Drive, Slack (free), Overleaf (LaTeX)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</si>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</sst>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&quot; h&quot;"/>
    <numFmt numFmtId="165" formatCode="dd&quot;/&quot;mm"/>
    <numFmt numFmtId="166" formatCode="0.0%"/>
    <numFmt numFmtId="167" formatCode="dd/MM/yyyy"/>
    <numFmt numFmtId="168" formatCode="#,##0&quot; h&quot;;[RED]\-#,##0&quot; h&quot;"/>
    <numFmt numFmtId="169" formatCode="dd/mm"/>
    <numFmt numFmtId="170" formatCode="dd\-mmm"/>
    <numFmt numFmtId="171" formatCode="d/m"/>
  </numFmts>
  <fonts count="36">
    <font>
      <sz val="11.0"/>
      <color theme="1"/>
      <name val="Calibri"/>
      <scheme val="minor"/>
    </font>
    <font>
      <b/>
      <sz val="16.0"/>
      <color rgb="FF000000"/>
      <name val="Arial"/>
    </font>
    <font>
      <b/>
      <sz val="16.0"/>
      <color rgb="FF1F497D"/>
      <name val="Arial"/>
    </font>
    <font>
      <sz val="11.0"/>
      <color theme="1"/>
      <name val="Calibri"/>
    </font>
    <font>
      <b/>
      <sz val="13.0"/>
      <color rgb="FFFFFFFF"/>
      <name val="Arial"/>
    </font>
    <font>
      <sz val="14.0"/>
      <color theme="1"/>
      <name val="Calibri"/>
    </font>
    <font/>
    <font>
      <u/>
      <sz val="14.0"/>
      <color theme="1"/>
      <name val="Calibri"/>
    </font>
    <font>
      <i/>
      <sz val="10.0"/>
      <color rgb="FF666666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b/>
      <sz val="8.0"/>
      <color rgb="FFFFFFFF"/>
      <name val="Arial"/>
    </font>
    <font>
      <sz val="10.0"/>
      <color rgb="FF008000"/>
      <name val="Arial"/>
    </font>
    <font>
      <sz val="10.0"/>
      <color theme="1"/>
      <name val="Arial"/>
    </font>
    <font>
      <b/>
      <sz val="11.0"/>
      <color rgb="FFFFFFFF"/>
      <name val="Arial"/>
    </font>
    <font>
      <sz val="9.0"/>
      <color rgb="FF595959"/>
      <name val="Arial"/>
    </font>
    <font>
      <sz val="9.0"/>
      <color theme="1"/>
      <name val="Arial"/>
    </font>
    <font>
      <b/>
      <sz val="9.0"/>
      <color rgb="FF1F3864"/>
      <name val="Arial"/>
    </font>
    <font>
      <b/>
      <sz val="10.0"/>
      <color theme="1"/>
      <name val="Arial"/>
    </font>
    <font>
      <sz val="10.0"/>
      <color rgb="FF0000FF"/>
      <name val="Arial"/>
    </font>
    <font>
      <i/>
      <color rgb="FF666666"/>
      <name val="Arial"/>
    </font>
    <font>
      <color rgb="FF000000"/>
      <name val="Calibri"/>
    </font>
    <font>
      <color theme="1"/>
      <name val="Calibri"/>
    </font>
    <font>
      <color theme="1"/>
      <name val="Arial"/>
    </font>
    <font>
      <color rgb="FF0000FF"/>
      <name val="Arial"/>
    </font>
    <font>
      <b/>
      <color theme="1"/>
      <name val="Arial"/>
    </font>
    <font>
      <b/>
      <sz val="11.0"/>
      <color rgb="FF1F497D"/>
      <name val="Arial"/>
    </font>
    <font>
      <color rgb="FF193C65"/>
      <name val="Calibri"/>
    </font>
    <font>
      <b/>
      <sz val="11.0"/>
      <color rgb="FFFF0000"/>
      <name val="Arial"/>
    </font>
    <font>
      <i/>
      <sz val="9.0"/>
      <color rgb="FF595959"/>
      <name val="Arial"/>
    </font>
    <font>
      <b/>
      <sz val="9.0"/>
      <color rgb="FFFFFFFF"/>
      <name val="Arial"/>
    </font>
    <font>
      <sz val="9.0"/>
      <color rgb="FF0A7B24"/>
      <name val="Arial"/>
    </font>
    <font>
      <sz val="9.0"/>
      <color rgb="FFB85C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0B5394"/>
        <bgColor rgb="FF0B5394"/>
      </patternFill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BF9000"/>
        <bgColor rgb="FFBF9000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2E5FA3"/>
        <bgColor rgb="FF2E5FA3"/>
      </patternFill>
    </fill>
    <fill>
      <patternFill patternType="solid">
        <fgColor rgb="FFF7F9FB"/>
        <bgColor rgb="FFF7F9FB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8F8F8"/>
        <bgColor rgb="FFF8F8F8"/>
      </patternFill>
    </fill>
    <fill>
      <patternFill patternType="solid">
        <fgColor rgb="FFEDF2F8"/>
        <bgColor rgb="FFEDF2F8"/>
      </patternFill>
    </fill>
    <fill>
      <patternFill patternType="solid">
        <fgColor rgb="FFDDEEFF"/>
        <bgColor rgb="FFDDEEFF"/>
      </patternFill>
    </fill>
    <fill>
      <patternFill patternType="solid">
        <fgColor rgb="FFD5E6F5"/>
        <bgColor rgb="FFD5E6F5"/>
      </patternFill>
    </fill>
    <fill>
      <patternFill patternType="solid">
        <fgColor rgb="FFF3E4F5"/>
        <bgColor rgb="FFF3E4F5"/>
      </patternFill>
    </fill>
    <fill>
      <patternFill patternType="solid">
        <fgColor rgb="FFFFE0E0"/>
        <bgColor rgb="FFFFE0E0"/>
      </patternFill>
    </fill>
    <fill>
      <patternFill patternType="solid">
        <fgColor rgb="FFD6DCE4"/>
        <bgColor rgb="FFD6DCE4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1" fillId="2" fontId="4" numFmtId="0" xfId="0" applyAlignment="1" applyBorder="1" applyFill="1" applyFont="1">
      <alignment readingOrder="0"/>
    </xf>
    <xf borderId="0" fillId="0" fontId="5" numFmtId="0" xfId="0" applyAlignment="1" applyFont="1">
      <alignment vertical="bottom"/>
    </xf>
    <xf borderId="2" fillId="0" fontId="6" numFmtId="0" xfId="0" applyBorder="1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3" fillId="0" fontId="6" numFmtId="0" xfId="0" applyBorder="1" applyFont="1"/>
    <xf borderId="0" fillId="3" fontId="4" numFmtId="0" xfId="0" applyAlignment="1" applyFill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0" fontId="6" numFmtId="0" xfId="0" applyBorder="1" applyFont="1"/>
    <xf borderId="6" fillId="4" fontId="9" numFmtId="0" xfId="0" applyAlignment="1" applyBorder="1" applyFill="1" applyFont="1">
      <alignment horizontal="center" shrinkToFit="0" vertical="center" wrapText="1"/>
    </xf>
    <xf borderId="7" fillId="0" fontId="6" numFmtId="0" xfId="0" applyBorder="1" applyFont="1"/>
    <xf borderId="8" fillId="5" fontId="10" numFmtId="0" xfId="0" applyAlignment="1" applyBorder="1" applyFill="1" applyFont="1">
      <alignment horizontal="center"/>
    </xf>
    <xf borderId="1" fillId="6" fontId="10" numFmtId="0" xfId="0" applyAlignment="1" applyBorder="1" applyFill="1" applyFont="1">
      <alignment horizontal="center"/>
    </xf>
    <xf borderId="1" fillId="7" fontId="10" numFmtId="0" xfId="0" applyAlignment="1" applyBorder="1" applyFill="1" applyFont="1">
      <alignment horizontal="center"/>
    </xf>
    <xf borderId="0" fillId="8" fontId="11" numFmtId="0" xfId="0" applyAlignment="1" applyFill="1" applyFont="1">
      <alignment horizontal="center" shrinkToFit="0" vertical="center" wrapText="1"/>
    </xf>
    <xf borderId="1" fillId="9" fontId="10" numFmtId="0" xfId="0" applyAlignment="1" applyBorder="1" applyFill="1" applyFont="1">
      <alignment horizontal="center"/>
    </xf>
    <xf borderId="9" fillId="8" fontId="11" numFmtId="0" xfId="0" applyAlignment="1" applyBorder="1" applyFont="1">
      <alignment horizontal="center" shrinkToFit="0" vertical="center" wrapText="1"/>
    </xf>
    <xf borderId="1" fillId="10" fontId="10" numFmtId="0" xfId="0" applyAlignment="1" applyBorder="1" applyFill="1" applyFont="1">
      <alignment horizontal="center"/>
    </xf>
    <xf borderId="6" fillId="11" fontId="11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ont="1">
      <alignment horizontal="center"/>
    </xf>
    <xf borderId="6" fillId="11" fontId="12" numFmtId="0" xfId="0" applyAlignment="1" applyBorder="1" applyFont="1">
      <alignment horizontal="left" shrinkToFit="0" vertical="center" wrapText="1"/>
    </xf>
    <xf borderId="8" fillId="12" fontId="10" numFmtId="0" xfId="0" applyAlignment="1" applyBorder="1" applyFill="1" applyFont="1">
      <alignment horizontal="center"/>
    </xf>
    <xf borderId="6" fillId="11" fontId="12" numFmtId="3" xfId="0" applyAlignment="1" applyBorder="1" applyFont="1" applyNumberFormat="1">
      <alignment horizontal="right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13" numFmtId="0" xfId="0" applyAlignment="1" applyBorder="1" applyFont="1">
      <alignment horizontal="center" shrinkToFit="0" wrapText="1"/>
    </xf>
    <xf borderId="10" fillId="0" fontId="12" numFmtId="0" xfId="0" applyAlignment="1" applyBorder="1" applyFont="1">
      <alignment horizontal="left" shrinkToFit="0" vertical="center" wrapText="1"/>
    </xf>
    <xf borderId="6" fillId="2" fontId="14" numFmtId="0" xfId="0" applyAlignment="1" applyBorder="1" applyFont="1">
      <alignment horizontal="center" shrinkToFit="0" wrapText="1"/>
    </xf>
    <xf borderId="6" fillId="11" fontId="15" numFmtId="164" xfId="0" applyAlignment="1" applyBorder="1" applyFont="1" applyNumberFormat="1">
      <alignment horizontal="right" vertical="bottom"/>
    </xf>
    <xf borderId="10" fillId="0" fontId="12" numFmtId="3" xfId="0" applyAlignment="1" applyBorder="1" applyFont="1" applyNumberFormat="1">
      <alignment horizontal="right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12" numFmtId="165" xfId="0" applyAlignment="1" applyBorder="1" applyFont="1" applyNumberFormat="1">
      <alignment horizontal="center" shrinkToFit="0" vertical="center" wrapText="1"/>
    </xf>
    <xf borderId="6" fillId="11" fontId="16" numFmtId="166" xfId="0" applyAlignment="1" applyBorder="1" applyFont="1" applyNumberFormat="1">
      <alignment horizontal="right" vertical="bottom"/>
    </xf>
    <xf borderId="6" fillId="0" fontId="12" numFmtId="0" xfId="0" applyAlignment="1" applyBorder="1" applyFont="1">
      <alignment horizontal="left" shrinkToFit="0" vertical="center" wrapText="1"/>
    </xf>
    <xf borderId="6" fillId="0" fontId="12" numFmtId="3" xfId="0" applyAlignment="1" applyBorder="1" applyFont="1" applyNumberFormat="1">
      <alignment horizontal="right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0" fontId="12" numFmtId="165" xfId="0" applyAlignment="1" applyBorder="1" applyFont="1" applyNumberFormat="1">
      <alignment horizontal="center" shrinkToFit="0" vertical="center" wrapText="1"/>
    </xf>
    <xf borderId="1" fillId="13" fontId="17" numFmtId="0" xfId="0" applyBorder="1" applyFill="1" applyFont="1"/>
    <xf borderId="6" fillId="14" fontId="11" numFmtId="0" xfId="0" applyAlignment="1" applyBorder="1" applyFill="1" applyFont="1">
      <alignment horizontal="left" shrinkToFit="0" vertical="center" wrapText="1"/>
    </xf>
    <xf borderId="6" fillId="14" fontId="12" numFmtId="0" xfId="0" applyAlignment="1" applyBorder="1" applyFont="1">
      <alignment horizontal="left" shrinkToFit="0" vertical="center" wrapText="1"/>
    </xf>
    <xf borderId="6" fillId="14" fontId="12" numFmtId="3" xfId="0" applyAlignment="1" applyBorder="1" applyFont="1" applyNumberFormat="1">
      <alignment horizontal="right" shrinkToFit="0" vertical="center" wrapText="1"/>
    </xf>
    <xf borderId="6" fillId="15" fontId="18" numFmtId="0" xfId="0" applyBorder="1" applyFill="1" applyFont="1"/>
    <xf borderId="6" fillId="15" fontId="19" numFmtId="0" xfId="0" applyBorder="1" applyFont="1"/>
    <xf borderId="6" fillId="15" fontId="19" numFmtId="0" xfId="0" applyAlignment="1" applyBorder="1" applyFont="1">
      <alignment horizontal="center"/>
    </xf>
    <xf borderId="6" fillId="14" fontId="15" numFmtId="164" xfId="0" applyAlignment="1" applyBorder="1" applyFont="1" applyNumberFormat="1">
      <alignment horizontal="right" vertical="bottom"/>
    </xf>
    <xf borderId="6" fillId="16" fontId="19" numFmtId="0" xfId="0" applyAlignment="1" applyBorder="1" applyFill="1" applyFont="1">
      <alignment horizontal="center"/>
    </xf>
    <xf borderId="6" fillId="14" fontId="16" numFmtId="166" xfId="0" applyAlignment="1" applyBorder="1" applyFont="1" applyNumberFormat="1">
      <alignment horizontal="right" vertical="bottom"/>
    </xf>
    <xf borderId="6" fillId="17" fontId="3" numFmtId="0" xfId="0" applyAlignment="1" applyBorder="1" applyFill="1" applyFont="1">
      <alignment vertical="bottom"/>
    </xf>
    <xf borderId="6" fillId="6" fontId="20" numFmtId="0" xfId="0" applyAlignment="1" applyBorder="1" applyFont="1">
      <alignment horizontal="center"/>
    </xf>
    <xf borderId="6" fillId="18" fontId="21" numFmtId="0" xfId="0" applyAlignment="1" applyBorder="1" applyFill="1" applyFont="1">
      <alignment horizontal="left" vertical="center"/>
    </xf>
    <xf borderId="6" fillId="18" fontId="21" numFmtId="3" xfId="0" applyAlignment="1" applyBorder="1" applyFont="1" applyNumberFormat="1">
      <alignment horizontal="right" vertical="center"/>
    </xf>
    <xf borderId="6" fillId="18" fontId="21" numFmtId="164" xfId="0" applyAlignment="1" applyBorder="1" applyFont="1" applyNumberFormat="1">
      <alignment horizontal="right" vertical="center"/>
    </xf>
    <xf borderId="6" fillId="18" fontId="21" numFmtId="166" xfId="0" applyAlignment="1" applyBorder="1" applyFont="1" applyNumberFormat="1">
      <alignment horizontal="right" vertical="center"/>
    </xf>
    <xf borderId="0" fillId="0" fontId="16" numFmtId="0" xfId="0" applyAlignment="1" applyFont="1">
      <alignment vertical="bottom"/>
    </xf>
    <xf borderId="0" fillId="0" fontId="22" numFmtId="164" xfId="0" applyAlignment="1" applyFont="1" applyNumberFormat="1">
      <alignment horizontal="right" vertical="bottom"/>
    </xf>
    <xf borderId="0" fillId="18" fontId="21" numFmtId="0" xfId="0" applyAlignment="1" applyFont="1">
      <alignment horizontal="left" vertical="center"/>
    </xf>
    <xf borderId="0" fillId="0" fontId="21" numFmtId="0" xfId="0" applyAlignment="1" applyFont="1">
      <alignment vertical="bottom"/>
    </xf>
    <xf borderId="6" fillId="18" fontId="21" numFmtId="167" xfId="0" applyAlignment="1" applyBorder="1" applyFont="1" applyNumberFormat="1">
      <alignment horizontal="right" vertical="center"/>
    </xf>
    <xf borderId="0" fillId="0" fontId="21" numFmtId="168" xfId="0" applyAlignment="1" applyFont="1" applyNumberFormat="1">
      <alignment horizontal="right" vertical="bottom"/>
    </xf>
    <xf borderId="6" fillId="18" fontId="21" numFmtId="0" xfId="0" applyAlignment="1" applyBorder="1" applyFont="1">
      <alignment horizontal="right" vertical="center"/>
    </xf>
    <xf borderId="6" fillId="7" fontId="20" numFmtId="0" xfId="0" applyAlignment="1" applyBorder="1" applyFont="1">
      <alignment horizontal="center"/>
    </xf>
    <xf borderId="4" fillId="3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3" numFmtId="0" xfId="0" applyAlignment="1" applyFont="1">
      <alignment vertical="bottom"/>
    </xf>
    <xf borderId="9" fillId="8" fontId="9" numFmtId="0" xfId="0" applyAlignment="1" applyBorder="1" applyFont="1">
      <alignment horizontal="center" shrinkToFit="0" vertical="center" wrapText="1"/>
    </xf>
    <xf borderId="11" fillId="0" fontId="24" numFmtId="0" xfId="0" applyBorder="1" applyFont="1"/>
    <xf borderId="11" fillId="0" fontId="24" numFmtId="3" xfId="0" applyAlignment="1" applyBorder="1" applyFont="1" applyNumberFormat="1">
      <alignment horizontal="center"/>
    </xf>
    <xf borderId="11" fillId="0" fontId="25" numFmtId="0" xfId="0" applyAlignment="1" applyBorder="1" applyFont="1">
      <alignment horizontal="center"/>
    </xf>
    <xf borderId="11" fillId="0" fontId="25" numFmtId="169" xfId="0" applyBorder="1" applyFont="1" applyNumberFormat="1"/>
    <xf borderId="11" fillId="0" fontId="25" numFmtId="0" xfId="0" applyBorder="1" applyFont="1"/>
    <xf borderId="11" fillId="0" fontId="24" numFmtId="0" xfId="0" applyAlignment="1" applyBorder="1" applyFont="1">
      <alignment horizontal="center"/>
    </xf>
    <xf borderId="6" fillId="9" fontId="20" numFmtId="0" xfId="0" applyAlignment="1" applyBorder="1" applyFont="1">
      <alignment horizontal="center"/>
    </xf>
    <xf borderId="11" fillId="0" fontId="24" numFmtId="0" xfId="0" applyAlignment="1" applyBorder="1" applyFont="1">
      <alignment horizontal="center" vertical="center"/>
    </xf>
    <xf borderId="6" fillId="4" fontId="13" numFmtId="0" xfId="0" applyAlignment="1" applyBorder="1" applyFont="1">
      <alignment horizontal="center" shrinkToFit="0" wrapText="1"/>
    </xf>
    <xf borderId="6" fillId="0" fontId="24" numFmtId="0" xfId="0" applyAlignment="1" applyBorder="1" applyFont="1">
      <alignment horizontal="center" vertical="center"/>
    </xf>
    <xf borderId="6" fillId="14" fontId="23" numFmtId="0" xfId="0" applyAlignment="1" applyBorder="1" applyFont="1">
      <alignment horizontal="center" vertical="bottom"/>
    </xf>
    <xf borderId="6" fillId="14" fontId="23" numFmtId="170" xfId="0" applyAlignment="1" applyBorder="1" applyFont="1" applyNumberFormat="1">
      <alignment horizontal="center" vertical="bottom"/>
    </xf>
    <xf borderId="6" fillId="14" fontId="23" numFmtId="3" xfId="0" applyAlignment="1" applyBorder="1" applyFont="1" applyNumberFormat="1">
      <alignment horizontal="center" vertical="bottom"/>
    </xf>
    <xf borderId="11" fillId="0" fontId="25" numFmtId="169" xfId="0" applyAlignment="1" applyBorder="1" applyFont="1" applyNumberFormat="1">
      <alignment horizontal="right"/>
    </xf>
    <xf borderId="6" fillId="14" fontId="23" numFmtId="164" xfId="0" applyAlignment="1" applyBorder="1" applyFont="1" applyNumberFormat="1">
      <alignment horizontal="center" vertical="bottom"/>
    </xf>
    <xf borderId="6" fillId="11" fontId="26" numFmtId="0" xfId="0" applyAlignment="1" applyBorder="1" applyFont="1">
      <alignment horizontal="center" vertical="bottom"/>
    </xf>
    <xf borderId="6" fillId="11" fontId="26" numFmtId="170" xfId="0" applyAlignment="1" applyBorder="1" applyFont="1" applyNumberFormat="1">
      <alignment horizontal="center" vertical="bottom"/>
    </xf>
    <xf borderId="6" fillId="11" fontId="26" numFmtId="3" xfId="0" applyAlignment="1" applyBorder="1" applyFont="1" applyNumberFormat="1">
      <alignment horizontal="right" vertical="bottom"/>
    </xf>
    <xf borderId="6" fillId="11" fontId="27" numFmtId="3" xfId="0" applyAlignment="1" applyBorder="1" applyFont="1" applyNumberFormat="1">
      <alignment horizontal="right" vertical="bottom"/>
    </xf>
    <xf borderId="6" fillId="11" fontId="28" numFmtId="3" xfId="0" applyAlignment="1" applyBorder="1" applyFont="1" applyNumberFormat="1">
      <alignment horizontal="right" vertical="bottom"/>
    </xf>
    <xf borderId="6" fillId="10" fontId="20" numFmtId="0" xfId="0" applyAlignment="1" applyBorder="1" applyFont="1">
      <alignment horizontal="center"/>
    </xf>
    <xf borderId="6" fillId="14" fontId="26" numFmtId="0" xfId="0" applyAlignment="1" applyBorder="1" applyFont="1">
      <alignment horizontal="center" vertical="bottom"/>
    </xf>
    <xf borderId="6" fillId="14" fontId="26" numFmtId="170" xfId="0" applyAlignment="1" applyBorder="1" applyFont="1" applyNumberFormat="1">
      <alignment horizontal="center" vertical="bottom"/>
    </xf>
    <xf borderId="6" fillId="14" fontId="27" numFmtId="3" xfId="0" applyAlignment="1" applyBorder="1" applyFont="1" applyNumberFormat="1">
      <alignment horizontal="right" vertical="bottom"/>
    </xf>
    <xf borderId="6" fillId="14" fontId="26" numFmtId="3" xfId="0" applyAlignment="1" applyBorder="1" applyFont="1" applyNumberFormat="1">
      <alignment horizontal="right" vertical="bottom"/>
    </xf>
    <xf borderId="6" fillId="5" fontId="20" numFmtId="0" xfId="0" applyAlignment="1" applyBorder="1" applyFont="1">
      <alignment horizontal="center"/>
    </xf>
    <xf borderId="0" fillId="0" fontId="29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28" numFmtId="3" xfId="0" applyAlignment="1" applyFont="1" applyNumberFormat="1">
      <alignment horizontal="right" vertical="bottom"/>
    </xf>
    <xf borderId="6" fillId="19" fontId="18" numFmtId="0" xfId="0" applyBorder="1" applyFill="1" applyFont="1"/>
    <xf borderId="6" fillId="19" fontId="19" numFmtId="0" xfId="0" applyBorder="1" applyFont="1"/>
    <xf borderId="6" fillId="19" fontId="19" numFmtId="0" xfId="0" applyAlignment="1" applyBorder="1" applyFont="1">
      <alignment horizontal="center"/>
    </xf>
    <xf borderId="0" fillId="20" fontId="30" numFmtId="0" xfId="0" applyFill="1" applyFont="1"/>
    <xf borderId="11" fillId="20" fontId="30" numFmtId="0" xfId="0" applyBorder="1" applyFont="1"/>
    <xf borderId="0" fillId="0" fontId="28" numFmtId="9" xfId="0" applyAlignment="1" applyFont="1" applyNumberFormat="1">
      <alignment horizontal="right" vertical="bottom"/>
    </xf>
    <xf borderId="11" fillId="20" fontId="30" numFmtId="164" xfId="0" applyAlignment="1" applyBorder="1" applyFont="1" applyNumberFormat="1">
      <alignment horizontal="center"/>
    </xf>
    <xf borderId="11" fillId="20" fontId="25" numFmtId="0" xfId="0" applyAlignment="1" applyBorder="1" applyFont="1">
      <alignment vertical="bottom"/>
    </xf>
    <xf borderId="11" fillId="0" fontId="24" numFmtId="171" xfId="0" applyBorder="1" applyFont="1" applyNumberFormat="1"/>
    <xf borderId="11" fillId="0" fontId="24" numFmtId="0" xfId="0" applyAlignment="1" applyBorder="1" applyFont="1">
      <alignment readingOrder="0"/>
    </xf>
    <xf borderId="6" fillId="5" fontId="18" numFmtId="0" xfId="0" applyBorder="1" applyFont="1"/>
    <xf borderId="6" fillId="5" fontId="19" numFmtId="0" xfId="0" applyBorder="1" applyFont="1"/>
    <xf borderId="6" fillId="5" fontId="19" numFmtId="0" xfId="0" applyAlignment="1" applyBorder="1" applyFont="1">
      <alignment horizontal="center"/>
    </xf>
    <xf borderId="11" fillId="0" fontId="24" numFmtId="171" xfId="0" applyAlignment="1" applyBorder="1" applyFont="1" applyNumberFormat="1">
      <alignment readingOrder="0"/>
    </xf>
    <xf borderId="6" fillId="10" fontId="18" numFmtId="0" xfId="0" applyBorder="1" applyFont="1"/>
    <xf borderId="6" fillId="10" fontId="19" numFmtId="0" xfId="0" applyBorder="1" applyFont="1"/>
    <xf borderId="6" fillId="10" fontId="19" numFmtId="0" xfId="0" applyAlignment="1" applyBorder="1" applyFont="1">
      <alignment horizontal="center"/>
    </xf>
    <xf borderId="11" fillId="20" fontId="25" numFmtId="0" xfId="0" applyAlignment="1" applyBorder="1" applyFont="1">
      <alignment readingOrder="0" vertical="bottom"/>
    </xf>
    <xf borderId="6" fillId="21" fontId="18" numFmtId="0" xfId="0" applyBorder="1" applyFill="1" applyFont="1"/>
    <xf borderId="6" fillId="21" fontId="19" numFmtId="0" xfId="0" applyBorder="1" applyFont="1"/>
    <xf borderId="6" fillId="21" fontId="19" numFmtId="0" xfId="0" applyAlignment="1" applyBorder="1" applyFont="1">
      <alignment horizontal="center"/>
    </xf>
    <xf borderId="1" fillId="2" fontId="13" numFmtId="0" xfId="0" applyAlignment="1" applyBorder="1" applyFont="1">
      <alignment vertical="bottom"/>
    </xf>
    <xf borderId="8" fillId="15" fontId="10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6" fillId="11" fontId="27" numFmtId="3" xfId="0" applyAlignment="1" applyBorder="1" applyFont="1" applyNumberFormat="1">
      <alignment horizontal="right" readingOrder="0" vertical="bottom"/>
    </xf>
    <xf borderId="8" fillId="22" fontId="31" numFmtId="0" xfId="0" applyAlignment="1" applyBorder="1" applyFill="1" applyFont="1">
      <alignment horizontal="center"/>
    </xf>
    <xf borderId="6" fillId="14" fontId="27" numFmtId="3" xfId="0" applyAlignment="1" applyBorder="1" applyFont="1" applyNumberFormat="1">
      <alignment horizontal="right" readingOrder="0" vertical="bottom"/>
    </xf>
    <xf borderId="0" fillId="0" fontId="32" numFmtId="0" xfId="0" applyFont="1"/>
    <xf borderId="6" fillId="2" fontId="33" numFmtId="0" xfId="0" applyAlignment="1" applyBorder="1" applyFont="1">
      <alignment horizontal="center" shrinkToFit="0" wrapText="1"/>
    </xf>
    <xf borderId="6" fillId="17" fontId="19" numFmtId="0" xfId="0" applyBorder="1" applyFont="1"/>
    <xf borderId="6" fillId="17" fontId="19" numFmtId="0" xfId="0" applyAlignment="1" applyBorder="1" applyFont="1">
      <alignment horizontal="center"/>
    </xf>
    <xf borderId="6" fillId="17" fontId="34" numFmtId="0" xfId="0" applyAlignment="1" applyBorder="1" applyFont="1">
      <alignment horizontal="center"/>
    </xf>
    <xf borderId="6" fillId="17" fontId="35" numFmtId="0" xfId="0" applyAlignment="1" applyBorder="1" applyFont="1">
      <alignment horizontal="center"/>
    </xf>
    <xf borderId="6" fillId="17" fontId="10" numFmtId="0" xfId="0" applyAlignment="1" applyBorder="1" applyFont="1">
      <alignment horizontal="center"/>
    </xf>
    <xf borderId="6" fillId="17" fontId="19" numFmtId="9" xfId="0" applyAlignment="1" applyBorder="1" applyFont="1" applyNumberFormat="1">
      <alignment horizontal="center"/>
    </xf>
    <xf borderId="6" fillId="17" fontId="19" numFmtId="0" xfId="0" applyAlignment="1" applyBorder="1" applyFont="1">
      <alignment shrinkToFit="0" wrapText="1"/>
    </xf>
    <xf borderId="6" fillId="11" fontId="19" numFmtId="0" xfId="0" applyBorder="1" applyFont="1"/>
    <xf borderId="6" fillId="11" fontId="19" numFmtId="0" xfId="0" applyAlignment="1" applyBorder="1" applyFont="1">
      <alignment horizontal="center"/>
    </xf>
    <xf borderId="6" fillId="11" fontId="34" numFmtId="0" xfId="0" applyAlignment="1" applyBorder="1" applyFont="1">
      <alignment horizontal="center"/>
    </xf>
    <xf borderId="6" fillId="11" fontId="35" numFmtId="0" xfId="0" applyAlignment="1" applyBorder="1" applyFont="1">
      <alignment horizontal="center"/>
    </xf>
    <xf borderId="6" fillId="11" fontId="10" numFmtId="0" xfId="0" applyAlignment="1" applyBorder="1" applyFont="1">
      <alignment horizontal="center"/>
    </xf>
    <xf borderId="6" fillId="11" fontId="19" numFmtId="9" xfId="0" applyAlignment="1" applyBorder="1" applyFont="1" applyNumberFormat="1">
      <alignment horizontal="center"/>
    </xf>
    <xf borderId="6" fillId="11" fontId="19" numFmtId="0" xfId="0" applyAlignment="1" applyBorder="1" applyFont="1">
      <alignment shrinkToFit="0" wrapText="1"/>
    </xf>
    <xf borderId="6" fillId="23" fontId="28" numFmtId="0" xfId="0" applyBorder="1" applyFill="1" applyFont="1"/>
    <xf borderId="6" fillId="23" fontId="28" numFmtId="0" xfId="0" applyAlignment="1" applyBorder="1" applyFont="1">
      <alignment horizontal="center"/>
    </xf>
    <xf borderId="6" fillId="23" fontId="28" numFmtId="9" xfId="0" applyAlignment="1" applyBorder="1" applyFont="1" applyNumberFormat="1">
      <alignment horizontal="center"/>
    </xf>
    <xf borderId="6" fillId="2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Sprint 1 Burndown — Ideal vs Actual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Ideal Remaining (h)</c:v>
          </c:tx>
          <c:spPr>
            <a:ln cmpd="sng" w="19050">
              <a:solidFill>
                <a:srgbClr val="88888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'Burndown chart'!$A$7:$A$17</c:f>
            </c:strRef>
          </c:cat>
          <c:val>
            <c:numRef>
              <c:f>'Burndown chart'!$C$7:$C$17</c:f>
              <c:numCache/>
            </c:numRef>
          </c:val>
          <c:smooth val="1"/>
        </c:ser>
        <c:ser>
          <c:idx val="1"/>
          <c:order val="1"/>
          <c:tx>
            <c:v>Actual Remaining (h)</c:v>
          </c:tx>
          <c:spPr>
            <a:ln cmpd="sng" w="28575">
              <a:solidFill>
                <a:srgbClr val="FF6B6B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6B6B">
                  <a:alpha val="100000"/>
                </a:srgbClr>
              </a:solidFill>
              <a:ln cmpd="sng">
                <a:solidFill>
                  <a:srgbClr val="FF6B6B">
                    <a:alpha val="100000"/>
                  </a:srgbClr>
                </a:solidFill>
              </a:ln>
            </c:spPr>
          </c:marker>
          <c:cat>
            <c:strRef>
              <c:f>'Burndown chart'!$A$7:$A$17</c:f>
            </c:strRef>
          </c:cat>
          <c:val>
            <c:numRef>
              <c:f>'Burndown chart'!$F$7:$F$17</c:f>
              <c:numCache/>
            </c:numRef>
          </c:val>
          <c:smooth val="1"/>
        </c:ser>
        <c:axId val="1094930502"/>
        <c:axId val="346959445"/>
      </c:lineChart>
      <c:catAx>
        <c:axId val="1094930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6959445"/>
      </c:catAx>
      <c:valAx>
        <c:axId val="346959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Remaining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9493050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Sprint 2 Burndown — Ideal vs Actual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Ideal Remaining (h)</c:v>
          </c:tx>
          <c:spPr>
            <a:ln cmpd="sng" w="19050">
              <a:solidFill>
                <a:srgbClr val="88888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'Burndown chart'!$A$59:$A$69</c:f>
            </c:strRef>
          </c:cat>
          <c:val>
            <c:numRef>
              <c:f>'Burndown chart'!$C$59:$C$69</c:f>
              <c:numCache/>
            </c:numRef>
          </c:val>
          <c:smooth val="1"/>
        </c:ser>
        <c:ser>
          <c:idx val="1"/>
          <c:order val="1"/>
          <c:tx>
            <c:v>Actual Remaining (h)</c:v>
          </c:tx>
          <c:spPr>
            <a:ln cmpd="sng" w="28575">
              <a:solidFill>
                <a:srgbClr val="FF6B6B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6B6B">
                  <a:alpha val="100000"/>
                </a:srgbClr>
              </a:solidFill>
              <a:ln cmpd="sng">
                <a:solidFill>
                  <a:srgbClr val="FF6B6B">
                    <a:alpha val="100000"/>
                  </a:srgbClr>
                </a:solidFill>
              </a:ln>
            </c:spPr>
          </c:marker>
          <c:cat>
            <c:strRef>
              <c:f>'Burndown chart'!$A$59:$A$69</c:f>
            </c:strRef>
          </c:cat>
          <c:val>
            <c:numRef>
              <c:f>'Burndown chart'!$F$59:$F$69</c:f>
              <c:numCache/>
            </c:numRef>
          </c:val>
          <c:smooth val="1"/>
        </c:ser>
        <c:axId val="961109435"/>
        <c:axId val="661177930"/>
      </c:lineChart>
      <c:catAx>
        <c:axId val="961109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1177930"/>
      </c:catAx>
      <c:valAx>
        <c:axId val="661177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Remaining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110943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Sprint 3 Burndown — Ideal vs Actual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Ideal Remaining (h)</c:v>
          </c:tx>
          <c:spPr>
            <a:ln cmpd="sng" w="19050">
              <a:solidFill>
                <a:srgbClr val="88888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'Burndown chart'!$A$112:$A$122</c:f>
            </c:strRef>
          </c:cat>
          <c:val>
            <c:numRef>
              <c:f>'Burndown chart'!$C$112:$C$122</c:f>
              <c:numCache/>
            </c:numRef>
          </c:val>
          <c:smooth val="1"/>
        </c:ser>
        <c:ser>
          <c:idx val="1"/>
          <c:order val="1"/>
          <c:tx>
            <c:v>Actual Remaining (h)</c:v>
          </c:tx>
          <c:spPr>
            <a:ln cmpd="sng" w="28575">
              <a:solidFill>
                <a:srgbClr val="FF6B6B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6B6B">
                  <a:alpha val="100000"/>
                </a:srgbClr>
              </a:solidFill>
              <a:ln cmpd="sng">
                <a:solidFill>
                  <a:srgbClr val="FF6B6B">
                    <a:alpha val="100000"/>
                  </a:srgbClr>
                </a:solidFill>
              </a:ln>
            </c:spPr>
          </c:marker>
          <c:cat>
            <c:strRef>
              <c:f>'Burndown chart'!$A$112:$A$122</c:f>
            </c:strRef>
          </c:cat>
          <c:val>
            <c:numRef>
              <c:f>'Burndown chart'!$F$112:$F$122</c:f>
              <c:numCache/>
            </c:numRef>
          </c:val>
          <c:smooth val="1"/>
        </c:ser>
        <c:axId val="744012782"/>
        <c:axId val="1479550559"/>
      </c:lineChart>
      <c:catAx>
        <c:axId val="744012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9550559"/>
      </c:catAx>
      <c:valAx>
        <c:axId val="1479550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Remaining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4401278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Sprint 4 Burndown — Ideal vs Actual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Ideal Remaining (h)</c:v>
          </c:tx>
          <c:spPr>
            <a:ln cmpd="sng" w="19050">
              <a:solidFill>
                <a:srgbClr val="88888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'Burndown chart'!$A$165:$A$175</c:f>
            </c:strRef>
          </c:cat>
          <c:val>
            <c:numRef>
              <c:f>'Burndown chart'!$C$165:$C$175</c:f>
              <c:numCache/>
            </c:numRef>
          </c:val>
          <c:smooth val="1"/>
        </c:ser>
        <c:ser>
          <c:idx val="1"/>
          <c:order val="1"/>
          <c:tx>
            <c:v>Actual Remaining (h)</c:v>
          </c:tx>
          <c:spPr>
            <a:ln cmpd="sng" w="28575">
              <a:solidFill>
                <a:srgbClr val="FF6B6B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6B6B">
                  <a:alpha val="100000"/>
                </a:srgbClr>
              </a:solidFill>
              <a:ln cmpd="sng">
                <a:solidFill>
                  <a:srgbClr val="FF6B6B">
                    <a:alpha val="100000"/>
                  </a:srgbClr>
                </a:solidFill>
              </a:ln>
            </c:spPr>
          </c:marker>
          <c:cat>
            <c:strRef>
              <c:f>'Burndown chart'!$A$165:$A$175</c:f>
            </c:strRef>
          </c:cat>
          <c:val>
            <c:numRef>
              <c:f>'Burndown chart'!$F$165:$F$175</c:f>
              <c:numCache/>
            </c:numRef>
          </c:val>
          <c:smooth val="1"/>
        </c:ser>
        <c:axId val="460034639"/>
        <c:axId val="299000339"/>
      </c:lineChart>
      <c:catAx>
        <c:axId val="46003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99000339"/>
      </c:catAx>
      <c:valAx>
        <c:axId val="299000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Remaining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0034639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Sprint 5 Burndown — Ideal vs Actual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Ideal Remaining (h)</c:v>
          </c:tx>
          <c:spPr>
            <a:ln cmpd="sng" w="19050">
              <a:solidFill>
                <a:srgbClr val="88888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'Burndown chart'!$A$218:$A$228</c:f>
            </c:strRef>
          </c:cat>
          <c:val>
            <c:numRef>
              <c:f>'Burndown chart'!$C$218:$C$228</c:f>
              <c:numCache/>
            </c:numRef>
          </c:val>
          <c:smooth val="1"/>
        </c:ser>
        <c:ser>
          <c:idx val="1"/>
          <c:order val="1"/>
          <c:tx>
            <c:v>Actual Remaining (h)</c:v>
          </c:tx>
          <c:spPr>
            <a:ln cmpd="sng" w="28575">
              <a:solidFill>
                <a:srgbClr val="FF6B6B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6B6B">
                  <a:alpha val="100000"/>
                </a:srgbClr>
              </a:solidFill>
              <a:ln cmpd="sng">
                <a:solidFill>
                  <a:srgbClr val="FF6B6B">
                    <a:alpha val="100000"/>
                  </a:srgbClr>
                </a:solidFill>
              </a:ln>
            </c:spPr>
          </c:marker>
          <c:cat>
            <c:strRef>
              <c:f>'Burndown chart'!$A$218:$A$228</c:f>
            </c:strRef>
          </c:cat>
          <c:val>
            <c:numRef>
              <c:f>'Burndown chart'!$F$218:$F$228</c:f>
              <c:numCache/>
            </c:numRef>
          </c:val>
          <c:smooth val="1"/>
        </c:ser>
        <c:axId val="984126253"/>
        <c:axId val="945710050"/>
      </c:lineChart>
      <c:catAx>
        <c:axId val="984126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45710050"/>
      </c:catAx>
      <c:valAx>
        <c:axId val="945710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Remaining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84126253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7496175" cy="4524375"/>
    <xdr:graphicFrame>
      <xdr:nvGraphicFramePr>
        <xdr:cNvPr id="90382420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0</xdr:rowOff>
    </xdr:from>
    <xdr:ext cx="7496175" cy="4524375"/>
    <xdr:graphicFrame>
      <xdr:nvGraphicFramePr>
        <xdr:cNvPr id="34958718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130</xdr:row>
      <xdr:rowOff>0</xdr:rowOff>
    </xdr:from>
    <xdr:ext cx="7496175" cy="4524375"/>
    <xdr:graphicFrame>
      <xdr:nvGraphicFramePr>
        <xdr:cNvPr id="7792271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295275</xdr:colOff>
      <xdr:row>182</xdr:row>
      <xdr:rowOff>0</xdr:rowOff>
    </xdr:from>
    <xdr:ext cx="7496175" cy="4524375"/>
    <xdr:graphicFrame>
      <xdr:nvGraphicFramePr>
        <xdr:cNvPr id="116065376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133350</xdr:colOff>
      <xdr:row>235</xdr:row>
      <xdr:rowOff>28575</xdr:rowOff>
    </xdr:from>
    <xdr:ext cx="7496175" cy="4524375"/>
    <xdr:graphicFrame>
      <xdr:nvGraphicFramePr>
        <xdr:cNvPr id="171151408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2.0"/>
    <col customWidth="1" min="3" max="3" width="10.0"/>
    <col customWidth="1" min="4" max="4" width="16.0"/>
    <col customWidth="1" min="5" max="5" width="14.0"/>
    <col customWidth="1" min="6" max="6" width="8.71"/>
  </cols>
  <sheetData>
    <row r="1" ht="27.75" customHeight="1">
      <c r="A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8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9"/>
      <c r="C3" s="9"/>
      <c r="D3" s="9"/>
      <c r="E3" s="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14" t="s">
        <v>5</v>
      </c>
      <c r="B4" s="14" t="s">
        <v>6</v>
      </c>
      <c r="C4" s="14" t="s">
        <v>8</v>
      </c>
      <c r="D4" s="14" t="s">
        <v>9</v>
      </c>
      <c r="E4" s="14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3" t="s">
        <v>4</v>
      </c>
      <c r="B5" s="25" t="s">
        <v>20</v>
      </c>
      <c r="C5" s="27">
        <v>16.0</v>
      </c>
      <c r="D5" s="32">
        <f>Backlog!C19</f>
        <v>164</v>
      </c>
      <c r="E5" s="36">
        <f t="shared" ref="E5:E10" si="1">D5/1236</f>
        <v>0.1326860841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2" t="s">
        <v>11</v>
      </c>
      <c r="B6" s="43" t="s">
        <v>20</v>
      </c>
      <c r="C6" s="44">
        <v>17.0</v>
      </c>
      <c r="D6" s="48">
        <f>Backlog!C40</f>
        <v>224</v>
      </c>
      <c r="E6" s="50">
        <f t="shared" si="1"/>
        <v>0.1812297735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3" t="s">
        <v>13</v>
      </c>
      <c r="B7" s="25" t="s">
        <v>20</v>
      </c>
      <c r="C7" s="27">
        <v>18.0</v>
      </c>
      <c r="D7" s="32">
        <f>Backlog!C67</f>
        <v>278</v>
      </c>
      <c r="E7" s="36">
        <f t="shared" si="1"/>
        <v>0.2249190939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42" t="s">
        <v>15</v>
      </c>
      <c r="B8" s="43" t="s">
        <v>60</v>
      </c>
      <c r="C8" s="44">
        <v>12.0</v>
      </c>
      <c r="D8" s="48">
        <f>Backlog!C88</f>
        <v>186</v>
      </c>
      <c r="E8" s="50">
        <f t="shared" si="1"/>
        <v>0.1504854369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3" t="s">
        <v>18</v>
      </c>
      <c r="B9" s="25" t="s">
        <v>60</v>
      </c>
      <c r="C9" s="27">
        <v>9.0</v>
      </c>
      <c r="D9" s="32">
        <f>Backlog!C99</f>
        <v>146</v>
      </c>
      <c r="E9" s="36">
        <f t="shared" si="1"/>
        <v>0.1181229773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53" t="s">
        <v>67</v>
      </c>
      <c r="B10" s="53"/>
      <c r="C10" s="54">
        <f t="shared" ref="C10:D10" si="2">SUM(C5:C9)</f>
        <v>72</v>
      </c>
      <c r="D10" s="55">
        <f t="shared" si="2"/>
        <v>998</v>
      </c>
      <c r="E10" s="56">
        <f t="shared" si="1"/>
        <v>0.8074433657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/>
      <c r="B11" s="9"/>
      <c r="C11" s="9"/>
      <c r="D11" s="9"/>
      <c r="E11" s="9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57" t="s">
        <v>75</v>
      </c>
      <c r="B12" s="9"/>
      <c r="C12" s="9"/>
      <c r="D12" s="58">
        <v>1236.0</v>
      </c>
      <c r="E12" s="9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60" t="s">
        <v>77</v>
      </c>
      <c r="B13" s="9"/>
      <c r="C13" s="9"/>
      <c r="D13" s="62">
        <f>D10-D12</f>
        <v>-238</v>
      </c>
      <c r="E13" s="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9"/>
      <c r="C14" s="9"/>
      <c r="D14" s="9"/>
      <c r="E14" s="9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/>
      <c r="B15" s="9"/>
      <c r="C15" s="9"/>
      <c r="D15" s="9"/>
      <c r="E15" s="9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9"/>
      <c r="B16" s="9"/>
      <c r="C16" s="9"/>
      <c r="D16" s="9"/>
      <c r="E16" s="9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9"/>
      <c r="B17" s="9"/>
      <c r="C17" s="9"/>
      <c r="D17" s="9"/>
      <c r="E17" s="9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9"/>
      <c r="B18" s="9"/>
      <c r="C18" s="9"/>
      <c r="D18" s="9"/>
      <c r="E18" s="9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9"/>
      <c r="B19" s="9"/>
      <c r="C19" s="9"/>
      <c r="D19" s="9"/>
      <c r="E19" s="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9"/>
      <c r="B20" s="9"/>
      <c r="C20" s="9"/>
      <c r="D20" s="9"/>
      <c r="E20" s="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9"/>
      <c r="B21" s="9"/>
      <c r="C21" s="9"/>
      <c r="D21" s="9"/>
      <c r="E21" s="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9"/>
      <c r="B22" s="9"/>
      <c r="C22" s="9"/>
      <c r="D22" s="9"/>
      <c r="E22" s="9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/>
      <c r="B23" s="9"/>
      <c r="C23" s="9"/>
      <c r="D23" s="9"/>
      <c r="E23" s="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/>
      <c r="B24" s="9"/>
      <c r="C24" s="9"/>
      <c r="D24" s="9"/>
      <c r="E24" s="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/>
      <c r="B25" s="9"/>
      <c r="C25" s="9"/>
      <c r="D25" s="9"/>
      <c r="E25" s="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9"/>
      <c r="B26" s="9"/>
      <c r="C26" s="9"/>
      <c r="D26" s="9"/>
      <c r="E26" s="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9"/>
      <c r="B27" s="9"/>
      <c r="C27" s="9"/>
      <c r="D27" s="9"/>
      <c r="E27" s="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9"/>
      <c r="B28" s="9"/>
      <c r="C28" s="9"/>
      <c r="D28" s="9"/>
      <c r="E28" s="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9"/>
      <c r="B29" s="9"/>
      <c r="C29" s="9"/>
      <c r="D29" s="9"/>
      <c r="E29" s="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9"/>
      <c r="B30" s="9"/>
      <c r="C30" s="9"/>
      <c r="D30" s="9"/>
      <c r="E30" s="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9"/>
      <c r="B31" s="9"/>
      <c r="C31" s="9"/>
      <c r="D31" s="9"/>
      <c r="E31" s="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9"/>
      <c r="B32" s="9"/>
      <c r="C32" s="9"/>
      <c r="D32" s="9"/>
      <c r="E32" s="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9"/>
      <c r="B33" s="9"/>
      <c r="C33" s="9"/>
      <c r="D33" s="9"/>
      <c r="E33" s="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9"/>
      <c r="B34" s="9"/>
      <c r="C34" s="9"/>
      <c r="D34" s="9"/>
      <c r="E34" s="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9"/>
      <c r="B35" s="9"/>
      <c r="C35" s="9"/>
      <c r="D35" s="9"/>
      <c r="E35" s="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9"/>
      <c r="B36" s="9"/>
      <c r="C36" s="9"/>
      <c r="D36" s="9"/>
      <c r="E36" s="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9"/>
      <c r="B37" s="9"/>
      <c r="C37" s="9"/>
      <c r="D37" s="9"/>
      <c r="E37" s="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9"/>
      <c r="B38" s="9"/>
      <c r="C38" s="9"/>
      <c r="D38" s="9"/>
      <c r="E38" s="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9"/>
      <c r="B39" s="9"/>
      <c r="C39" s="9"/>
      <c r="D39" s="9"/>
      <c r="E39" s="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9"/>
      <c r="B40" s="9"/>
      <c r="C40" s="9"/>
      <c r="D40" s="9"/>
      <c r="E40" s="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9"/>
      <c r="B41" s="9"/>
      <c r="C41" s="9"/>
      <c r="D41" s="9"/>
      <c r="E41" s="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9"/>
      <c r="B42" s="9"/>
      <c r="C42" s="9"/>
      <c r="D42" s="9"/>
      <c r="E42" s="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9"/>
      <c r="B43" s="9"/>
      <c r="C43" s="9"/>
      <c r="D43" s="9"/>
      <c r="E43" s="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9"/>
      <c r="B44" s="9"/>
      <c r="C44" s="9"/>
      <c r="D44" s="9"/>
      <c r="E44" s="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9"/>
      <c r="B45" s="9"/>
      <c r="C45" s="9"/>
      <c r="D45" s="9"/>
      <c r="E45" s="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9"/>
      <c r="B46" s="9"/>
      <c r="C46" s="9"/>
      <c r="D46" s="9"/>
      <c r="E46" s="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9"/>
      <c r="B47" s="9"/>
      <c r="C47" s="9"/>
      <c r="D47" s="9"/>
      <c r="E47" s="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9"/>
      <c r="B48" s="9"/>
      <c r="C48" s="9"/>
      <c r="D48" s="9"/>
      <c r="E48" s="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9"/>
      <c r="B49" s="9"/>
      <c r="C49" s="9"/>
      <c r="D49" s="9"/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9"/>
      <c r="B50" s="9"/>
      <c r="C50" s="9"/>
      <c r="D50" s="9"/>
      <c r="E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9"/>
      <c r="B51" s="9"/>
      <c r="C51" s="9"/>
      <c r="D51" s="9"/>
      <c r="E51" s="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9"/>
      <c r="B52" s="9"/>
      <c r="C52" s="9"/>
      <c r="D52" s="9"/>
      <c r="E52" s="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9"/>
      <c r="B53" s="9"/>
      <c r="C53" s="9"/>
      <c r="D53" s="9"/>
      <c r="E53" s="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9"/>
      <c r="B54" s="9"/>
      <c r="C54" s="9"/>
      <c r="D54" s="9"/>
      <c r="E54" s="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9"/>
      <c r="B55" s="9"/>
      <c r="C55" s="9"/>
      <c r="D55" s="9"/>
      <c r="E55" s="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9"/>
      <c r="B56" s="9"/>
      <c r="C56" s="9"/>
      <c r="D56" s="9"/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9"/>
      <c r="B57" s="9"/>
      <c r="C57" s="9"/>
      <c r="D57" s="9"/>
      <c r="E57" s="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9"/>
      <c r="B58" s="9"/>
      <c r="C58" s="9"/>
      <c r="D58" s="9"/>
      <c r="E58" s="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9"/>
      <c r="B59" s="9"/>
      <c r="C59" s="9"/>
      <c r="D59" s="9"/>
      <c r="E59" s="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9"/>
      <c r="B60" s="9"/>
      <c r="C60" s="9"/>
      <c r="D60" s="9"/>
      <c r="E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9"/>
      <c r="B61" s="9"/>
      <c r="C61" s="9"/>
      <c r="D61" s="9"/>
      <c r="E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9"/>
      <c r="B62" s="9"/>
      <c r="C62" s="9"/>
      <c r="D62" s="9"/>
      <c r="E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9"/>
      <c r="B63" s="9"/>
      <c r="C63" s="9"/>
      <c r="D63" s="9"/>
      <c r="E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9"/>
      <c r="B64" s="9"/>
      <c r="C64" s="9"/>
      <c r="D64" s="9"/>
      <c r="E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9"/>
      <c r="B65" s="9"/>
      <c r="C65" s="9"/>
      <c r="D65" s="9"/>
      <c r="E65" s="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9"/>
      <c r="B66" s="9"/>
      <c r="C66" s="9"/>
      <c r="D66" s="9"/>
      <c r="E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9"/>
      <c r="B67" s="9"/>
      <c r="C67" s="9"/>
      <c r="D67" s="9"/>
      <c r="E67" s="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9"/>
      <c r="B68" s="9"/>
      <c r="C68" s="9"/>
      <c r="D68" s="9"/>
      <c r="E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9"/>
      <c r="B69" s="9"/>
      <c r="C69" s="9"/>
      <c r="D69" s="9"/>
      <c r="E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9"/>
      <c r="B70" s="9"/>
      <c r="C70" s="9"/>
      <c r="D70" s="9"/>
      <c r="E70" s="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9"/>
      <c r="B71" s="9"/>
      <c r="C71" s="9"/>
      <c r="D71" s="9"/>
      <c r="E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9"/>
      <c r="B72" s="9"/>
      <c r="C72" s="9"/>
      <c r="D72" s="9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9"/>
      <c r="B73" s="9"/>
      <c r="C73" s="9"/>
      <c r="D73" s="9"/>
      <c r="E73" s="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9"/>
      <c r="B74" s="9"/>
      <c r="C74" s="9"/>
      <c r="D74" s="9"/>
      <c r="E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9"/>
      <c r="B75" s="9"/>
      <c r="C75" s="9"/>
      <c r="D75" s="9"/>
      <c r="E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9"/>
      <c r="B76" s="9"/>
      <c r="C76" s="9"/>
      <c r="D76" s="9"/>
      <c r="E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9"/>
      <c r="B77" s="9"/>
      <c r="C77" s="9"/>
      <c r="D77" s="9"/>
      <c r="E77" s="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9"/>
      <c r="B78" s="9"/>
      <c r="C78" s="9"/>
      <c r="D78" s="9"/>
      <c r="E78" s="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9"/>
      <c r="B79" s="9"/>
      <c r="C79" s="9"/>
      <c r="D79" s="9"/>
      <c r="E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9"/>
      <c r="B80" s="9"/>
      <c r="C80" s="9"/>
      <c r="D80" s="9"/>
      <c r="E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9"/>
      <c r="B81" s="9"/>
      <c r="C81" s="9"/>
      <c r="D81" s="9"/>
      <c r="E81" s="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9"/>
      <c r="B82" s="9"/>
      <c r="C82" s="9"/>
      <c r="D82" s="9"/>
      <c r="E82" s="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9"/>
      <c r="B83" s="9"/>
      <c r="C83" s="9"/>
      <c r="D83" s="9"/>
      <c r="E83" s="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9"/>
      <c r="B84" s="9"/>
      <c r="C84" s="9"/>
      <c r="D84" s="9"/>
      <c r="E84" s="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9"/>
      <c r="B85" s="9"/>
      <c r="C85" s="9"/>
      <c r="D85" s="9"/>
      <c r="E85" s="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9"/>
      <c r="B86" s="9"/>
      <c r="C86" s="9"/>
      <c r="D86" s="9"/>
      <c r="E86" s="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9"/>
      <c r="B87" s="9"/>
      <c r="C87" s="9"/>
      <c r="D87" s="9"/>
      <c r="E87" s="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9"/>
      <c r="B88" s="9"/>
      <c r="C88" s="9"/>
      <c r="D88" s="9"/>
      <c r="E88" s="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9"/>
      <c r="B89" s="9"/>
      <c r="C89" s="9"/>
      <c r="D89" s="9"/>
      <c r="E89" s="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9"/>
      <c r="B90" s="9"/>
      <c r="C90" s="9"/>
      <c r="D90" s="9"/>
      <c r="E90" s="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9"/>
      <c r="B91" s="9"/>
      <c r="C91" s="9"/>
      <c r="D91" s="9"/>
      <c r="E91" s="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9"/>
      <c r="B92" s="9"/>
      <c r="C92" s="9"/>
      <c r="D92" s="9"/>
      <c r="E92" s="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9"/>
      <c r="B93" s="9"/>
      <c r="C93" s="9"/>
      <c r="D93" s="9"/>
      <c r="E93" s="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9"/>
      <c r="B94" s="9"/>
      <c r="C94" s="9"/>
      <c r="D94" s="9"/>
      <c r="E94" s="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9"/>
      <c r="B95" s="9"/>
      <c r="C95" s="9"/>
      <c r="D95" s="9"/>
      <c r="E95" s="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9"/>
      <c r="B96" s="9"/>
      <c r="C96" s="9"/>
      <c r="D96" s="9"/>
      <c r="E96" s="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9"/>
      <c r="B97" s="9"/>
      <c r="C97" s="9"/>
      <c r="D97" s="9"/>
      <c r="E97" s="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9"/>
      <c r="B98" s="9"/>
      <c r="C98" s="9"/>
      <c r="D98" s="9"/>
      <c r="E98" s="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9"/>
      <c r="B99" s="9"/>
      <c r="C99" s="9"/>
      <c r="D99" s="9"/>
      <c r="E99" s="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9"/>
      <c r="B100" s="9"/>
      <c r="C100" s="9"/>
      <c r="D100" s="9"/>
      <c r="E100" s="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9"/>
      <c r="B101" s="9"/>
      <c r="C101" s="9"/>
      <c r="D101" s="9"/>
      <c r="E101" s="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9"/>
      <c r="B102" s="9"/>
      <c r="C102" s="9"/>
      <c r="D102" s="9"/>
      <c r="E102" s="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9"/>
      <c r="B103" s="9"/>
      <c r="C103" s="9"/>
      <c r="D103" s="9"/>
      <c r="E103" s="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9"/>
      <c r="B104" s="9"/>
      <c r="C104" s="9"/>
      <c r="D104" s="9"/>
      <c r="E104" s="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9"/>
      <c r="B105" s="9"/>
      <c r="C105" s="9"/>
      <c r="D105" s="9"/>
      <c r="E105" s="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9"/>
      <c r="B106" s="9"/>
      <c r="C106" s="9"/>
      <c r="D106" s="9"/>
      <c r="E106" s="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9"/>
      <c r="B107" s="9"/>
      <c r="C107" s="9"/>
      <c r="D107" s="9"/>
      <c r="E107" s="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9"/>
      <c r="B108" s="9"/>
      <c r="C108" s="9"/>
      <c r="D108" s="9"/>
      <c r="E108" s="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9"/>
      <c r="B109" s="9"/>
      <c r="C109" s="9"/>
      <c r="D109" s="9"/>
      <c r="E109" s="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9"/>
      <c r="B110" s="9"/>
      <c r="C110" s="9"/>
      <c r="D110" s="9"/>
      <c r="E110" s="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9"/>
      <c r="B111" s="9"/>
      <c r="C111" s="9"/>
      <c r="D111" s="9"/>
      <c r="E111" s="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9"/>
      <c r="B112" s="9"/>
      <c r="C112" s="9"/>
      <c r="D112" s="9"/>
      <c r="E112" s="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9"/>
      <c r="B113" s="9"/>
      <c r="C113" s="9"/>
      <c r="D113" s="9"/>
      <c r="E113" s="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9"/>
      <c r="B114" s="9"/>
      <c r="C114" s="9"/>
      <c r="D114" s="9"/>
      <c r="E114" s="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9"/>
      <c r="B115" s="9"/>
      <c r="C115" s="9"/>
      <c r="D115" s="9"/>
      <c r="E115" s="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9"/>
      <c r="B116" s="9"/>
      <c r="C116" s="9"/>
      <c r="D116" s="9"/>
      <c r="E116" s="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9"/>
      <c r="B117" s="9"/>
      <c r="C117" s="9"/>
      <c r="D117" s="9"/>
      <c r="E117" s="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9"/>
      <c r="B118" s="9"/>
      <c r="C118" s="9"/>
      <c r="D118" s="9"/>
      <c r="E118" s="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9"/>
      <c r="B119" s="9"/>
      <c r="C119" s="9"/>
      <c r="D119" s="9"/>
      <c r="E119" s="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9"/>
      <c r="B120" s="9"/>
      <c r="C120" s="9"/>
      <c r="D120" s="9"/>
      <c r="E120" s="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9"/>
      <c r="B121" s="9"/>
      <c r="C121" s="9"/>
      <c r="D121" s="9"/>
      <c r="E121" s="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9"/>
      <c r="B122" s="9"/>
      <c r="C122" s="9"/>
      <c r="D122" s="9"/>
      <c r="E122" s="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9"/>
      <c r="B123" s="9"/>
      <c r="C123" s="9"/>
      <c r="D123" s="9"/>
      <c r="E123" s="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9"/>
      <c r="B124" s="9"/>
      <c r="C124" s="9"/>
      <c r="D124" s="9"/>
      <c r="E124" s="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9"/>
      <c r="B125" s="9"/>
      <c r="C125" s="9"/>
      <c r="D125" s="9"/>
      <c r="E125" s="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9"/>
      <c r="B126" s="9"/>
      <c r="C126" s="9"/>
      <c r="D126" s="9"/>
      <c r="E126" s="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9"/>
      <c r="B127" s="9"/>
      <c r="C127" s="9"/>
      <c r="D127" s="9"/>
      <c r="E127" s="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9"/>
      <c r="B128" s="9"/>
      <c r="C128" s="9"/>
      <c r="D128" s="9"/>
      <c r="E128" s="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9"/>
      <c r="B129" s="9"/>
      <c r="C129" s="9"/>
      <c r="D129" s="9"/>
      <c r="E129" s="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9"/>
      <c r="B130" s="9"/>
      <c r="C130" s="9"/>
      <c r="D130" s="9"/>
      <c r="E130" s="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9"/>
      <c r="B131" s="9"/>
      <c r="C131" s="9"/>
      <c r="D131" s="9"/>
      <c r="E131" s="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9"/>
      <c r="B132" s="9"/>
      <c r="C132" s="9"/>
      <c r="D132" s="9"/>
      <c r="E132" s="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9"/>
      <c r="B133" s="9"/>
      <c r="C133" s="9"/>
      <c r="D133" s="9"/>
      <c r="E133" s="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9"/>
      <c r="B134" s="9"/>
      <c r="C134" s="9"/>
      <c r="D134" s="9"/>
      <c r="E134" s="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9"/>
      <c r="B135" s="9"/>
      <c r="C135" s="9"/>
      <c r="D135" s="9"/>
      <c r="E135" s="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9"/>
      <c r="B136" s="9"/>
      <c r="C136" s="9"/>
      <c r="D136" s="9"/>
      <c r="E136" s="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9"/>
      <c r="B137" s="9"/>
      <c r="C137" s="9"/>
      <c r="D137" s="9"/>
      <c r="E137" s="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9"/>
      <c r="B138" s="9"/>
      <c r="C138" s="9"/>
      <c r="D138" s="9"/>
      <c r="E138" s="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9"/>
      <c r="B139" s="9"/>
      <c r="C139" s="9"/>
      <c r="D139" s="9"/>
      <c r="E139" s="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9"/>
      <c r="B140" s="9"/>
      <c r="C140" s="9"/>
      <c r="D140" s="9"/>
      <c r="E140" s="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9"/>
      <c r="B141" s="9"/>
      <c r="C141" s="9"/>
      <c r="D141" s="9"/>
      <c r="E141" s="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9"/>
      <c r="B142" s="9"/>
      <c r="C142" s="9"/>
      <c r="D142" s="9"/>
      <c r="E142" s="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9"/>
      <c r="B143" s="9"/>
      <c r="C143" s="9"/>
      <c r="D143" s="9"/>
      <c r="E143" s="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9"/>
      <c r="B144" s="9"/>
      <c r="C144" s="9"/>
      <c r="D144" s="9"/>
      <c r="E144" s="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9"/>
      <c r="B145" s="9"/>
      <c r="C145" s="9"/>
      <c r="D145" s="9"/>
      <c r="E145" s="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9"/>
      <c r="B146" s="9"/>
      <c r="C146" s="9"/>
      <c r="D146" s="9"/>
      <c r="E146" s="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9"/>
      <c r="B147" s="9"/>
      <c r="C147" s="9"/>
      <c r="D147" s="9"/>
      <c r="E147" s="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9"/>
      <c r="B148" s="9"/>
      <c r="C148" s="9"/>
      <c r="D148" s="9"/>
      <c r="E148" s="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9"/>
      <c r="B149" s="9"/>
      <c r="C149" s="9"/>
      <c r="D149" s="9"/>
      <c r="E149" s="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9"/>
      <c r="B150" s="9"/>
      <c r="C150" s="9"/>
      <c r="D150" s="9"/>
      <c r="E150" s="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9"/>
      <c r="B151" s="9"/>
      <c r="C151" s="9"/>
      <c r="D151" s="9"/>
      <c r="E151" s="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9"/>
      <c r="B152" s="9"/>
      <c r="C152" s="9"/>
      <c r="D152" s="9"/>
      <c r="E152" s="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9"/>
      <c r="B153" s="9"/>
      <c r="C153" s="9"/>
      <c r="D153" s="9"/>
      <c r="E153" s="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9"/>
      <c r="B154" s="9"/>
      <c r="C154" s="9"/>
      <c r="D154" s="9"/>
      <c r="E154" s="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9"/>
      <c r="B155" s="9"/>
      <c r="C155" s="9"/>
      <c r="D155" s="9"/>
      <c r="E155" s="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9"/>
      <c r="B156" s="9"/>
      <c r="C156" s="9"/>
      <c r="D156" s="9"/>
      <c r="E156" s="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9"/>
      <c r="B157" s="9"/>
      <c r="C157" s="9"/>
      <c r="D157" s="9"/>
      <c r="E157" s="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9"/>
      <c r="B158" s="9"/>
      <c r="C158" s="9"/>
      <c r="D158" s="9"/>
      <c r="E158" s="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9"/>
      <c r="B159" s="9"/>
      <c r="C159" s="9"/>
      <c r="D159" s="9"/>
      <c r="E159" s="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9"/>
      <c r="B160" s="9"/>
      <c r="C160" s="9"/>
      <c r="D160" s="9"/>
      <c r="E160" s="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9"/>
      <c r="B161" s="9"/>
      <c r="C161" s="9"/>
      <c r="D161" s="9"/>
      <c r="E161" s="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9"/>
      <c r="B162" s="9"/>
      <c r="C162" s="9"/>
      <c r="D162" s="9"/>
      <c r="E162" s="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9"/>
      <c r="B163" s="9"/>
      <c r="C163" s="9"/>
      <c r="D163" s="9"/>
      <c r="E163" s="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9"/>
      <c r="B164" s="9"/>
      <c r="C164" s="9"/>
      <c r="D164" s="9"/>
      <c r="E164" s="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9"/>
      <c r="B165" s="9"/>
      <c r="C165" s="9"/>
      <c r="D165" s="9"/>
      <c r="E165" s="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9"/>
      <c r="B166" s="9"/>
      <c r="C166" s="9"/>
      <c r="D166" s="9"/>
      <c r="E166" s="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9"/>
      <c r="B167" s="9"/>
      <c r="C167" s="9"/>
      <c r="D167" s="9"/>
      <c r="E167" s="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9"/>
      <c r="B168" s="9"/>
      <c r="C168" s="9"/>
      <c r="D168" s="9"/>
      <c r="E168" s="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9"/>
      <c r="B169" s="9"/>
      <c r="C169" s="9"/>
      <c r="D169" s="9"/>
      <c r="E169" s="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9"/>
      <c r="B170" s="9"/>
      <c r="C170" s="9"/>
      <c r="D170" s="9"/>
      <c r="E170" s="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9"/>
      <c r="B171" s="9"/>
      <c r="C171" s="9"/>
      <c r="D171" s="9"/>
      <c r="E171" s="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9"/>
      <c r="B172" s="9"/>
      <c r="C172" s="9"/>
      <c r="D172" s="9"/>
      <c r="E172" s="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9"/>
      <c r="B173" s="9"/>
      <c r="C173" s="9"/>
      <c r="D173" s="9"/>
      <c r="E173" s="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9"/>
      <c r="B174" s="9"/>
      <c r="C174" s="9"/>
      <c r="D174" s="9"/>
      <c r="E174" s="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9"/>
      <c r="B175" s="9"/>
      <c r="C175" s="9"/>
      <c r="D175" s="9"/>
      <c r="E175" s="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9"/>
      <c r="B176" s="9"/>
      <c r="C176" s="9"/>
      <c r="D176" s="9"/>
      <c r="E176" s="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9"/>
      <c r="B177" s="9"/>
      <c r="C177" s="9"/>
      <c r="D177" s="9"/>
      <c r="E177" s="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9"/>
      <c r="B178" s="9"/>
      <c r="C178" s="9"/>
      <c r="D178" s="9"/>
      <c r="E178" s="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9"/>
      <c r="B179" s="9"/>
      <c r="C179" s="9"/>
      <c r="D179" s="9"/>
      <c r="E179" s="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9"/>
      <c r="B180" s="9"/>
      <c r="C180" s="9"/>
      <c r="D180" s="9"/>
      <c r="E180" s="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9"/>
      <c r="B181" s="9"/>
      <c r="C181" s="9"/>
      <c r="D181" s="9"/>
      <c r="E181" s="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9"/>
      <c r="B182" s="9"/>
      <c r="C182" s="9"/>
      <c r="D182" s="9"/>
      <c r="E182" s="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9"/>
      <c r="B183" s="9"/>
      <c r="C183" s="9"/>
      <c r="D183" s="9"/>
      <c r="E183" s="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9"/>
      <c r="B184" s="9"/>
      <c r="C184" s="9"/>
      <c r="D184" s="9"/>
      <c r="E184" s="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9"/>
      <c r="B185" s="9"/>
      <c r="C185" s="9"/>
      <c r="D185" s="9"/>
      <c r="E185" s="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9"/>
      <c r="B186" s="9"/>
      <c r="C186" s="9"/>
      <c r="D186" s="9"/>
      <c r="E186" s="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9"/>
      <c r="B187" s="9"/>
      <c r="C187" s="9"/>
      <c r="D187" s="9"/>
      <c r="E187" s="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9"/>
      <c r="B188" s="9"/>
      <c r="C188" s="9"/>
      <c r="D188" s="9"/>
      <c r="E188" s="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9"/>
      <c r="B189" s="9"/>
      <c r="C189" s="9"/>
      <c r="D189" s="9"/>
      <c r="E189" s="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9"/>
      <c r="B190" s="9"/>
      <c r="C190" s="9"/>
      <c r="D190" s="9"/>
      <c r="E190" s="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9"/>
      <c r="B191" s="9"/>
      <c r="C191" s="9"/>
      <c r="D191" s="9"/>
      <c r="E191" s="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9"/>
      <c r="B192" s="9"/>
      <c r="C192" s="9"/>
      <c r="D192" s="9"/>
      <c r="E192" s="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9"/>
      <c r="B193" s="9"/>
      <c r="C193" s="9"/>
      <c r="D193" s="9"/>
      <c r="E193" s="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9"/>
      <c r="B194" s="9"/>
      <c r="C194" s="9"/>
      <c r="D194" s="9"/>
      <c r="E194" s="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9"/>
      <c r="B195" s="9"/>
      <c r="C195" s="9"/>
      <c r="D195" s="9"/>
      <c r="E195" s="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9"/>
      <c r="B196" s="9"/>
      <c r="C196" s="9"/>
      <c r="D196" s="9"/>
      <c r="E196" s="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9"/>
      <c r="B197" s="9"/>
      <c r="C197" s="9"/>
      <c r="D197" s="9"/>
      <c r="E197" s="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9"/>
      <c r="B198" s="9"/>
      <c r="C198" s="9"/>
      <c r="D198" s="9"/>
      <c r="E198" s="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9"/>
      <c r="B199" s="9"/>
      <c r="C199" s="9"/>
      <c r="D199" s="9"/>
      <c r="E199" s="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9"/>
      <c r="B200" s="9"/>
      <c r="C200" s="9"/>
      <c r="D200" s="9"/>
      <c r="E200" s="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9"/>
      <c r="B201" s="9"/>
      <c r="C201" s="9"/>
      <c r="D201" s="9"/>
      <c r="E201" s="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9"/>
      <c r="B202" s="9"/>
      <c r="C202" s="9"/>
      <c r="D202" s="9"/>
      <c r="E202" s="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9"/>
      <c r="B203" s="9"/>
      <c r="C203" s="9"/>
      <c r="D203" s="9"/>
      <c r="E203" s="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9"/>
      <c r="B204" s="9"/>
      <c r="C204" s="9"/>
      <c r="D204" s="9"/>
      <c r="E204" s="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9"/>
      <c r="B205" s="9"/>
      <c r="C205" s="9"/>
      <c r="D205" s="9"/>
      <c r="E205" s="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9"/>
      <c r="B206" s="9"/>
      <c r="C206" s="9"/>
      <c r="D206" s="9"/>
      <c r="E206" s="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9"/>
      <c r="B207" s="9"/>
      <c r="C207" s="9"/>
      <c r="D207" s="9"/>
      <c r="E207" s="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9"/>
      <c r="B208" s="9"/>
      <c r="C208" s="9"/>
      <c r="D208" s="9"/>
      <c r="E208" s="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9"/>
      <c r="B209" s="9"/>
      <c r="C209" s="9"/>
      <c r="D209" s="9"/>
      <c r="E209" s="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9"/>
      <c r="B210" s="9"/>
      <c r="C210" s="9"/>
      <c r="D210" s="9"/>
      <c r="E210" s="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9"/>
      <c r="B211" s="9"/>
      <c r="C211" s="9"/>
      <c r="D211" s="9"/>
      <c r="E211" s="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9"/>
      <c r="B212" s="9"/>
      <c r="C212" s="9"/>
      <c r="D212" s="9"/>
      <c r="E212" s="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9"/>
      <c r="B213" s="9"/>
      <c r="C213" s="9"/>
      <c r="D213" s="9"/>
      <c r="E213" s="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9"/>
      <c r="B214" s="9"/>
      <c r="C214" s="9"/>
      <c r="D214" s="9"/>
      <c r="E214" s="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9"/>
      <c r="B215" s="9"/>
      <c r="C215" s="9"/>
      <c r="D215" s="9"/>
      <c r="E215" s="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2">
    <mergeCell ref="A1:E1"/>
    <mergeCell ref="A2:E2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14"/>
    <col customWidth="1" min="2" max="2" width="47.14"/>
    <col customWidth="1" min="3" max="3" width="14.0"/>
    <col customWidth="1" min="4" max="5" width="11.57"/>
    <col customWidth="1" min="6" max="10" width="9.0"/>
    <col customWidth="1" min="11" max="11" width="18.29"/>
    <col customWidth="1" min="12" max="12" width="29.57"/>
  </cols>
  <sheetData>
    <row r="1" ht="27.75" customHeight="1">
      <c r="A1" s="1"/>
      <c r="B1" s="1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4.0" customHeight="1">
      <c r="A2" s="5"/>
      <c r="B2" s="7"/>
      <c r="C2" s="9"/>
      <c r="D2" s="9"/>
      <c r="E2" s="9"/>
      <c r="F2" s="9"/>
      <c r="G2" s="9"/>
      <c r="H2" s="9"/>
      <c r="I2" s="9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4.0" customHeight="1">
      <c r="A3" s="11"/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36.0" customHeight="1">
      <c r="A4" s="19" t="s">
        <v>12</v>
      </c>
      <c r="B4" s="21" t="s">
        <v>14</v>
      </c>
      <c r="C4" s="21" t="s">
        <v>16</v>
      </c>
      <c r="D4" s="21" t="s">
        <v>17</v>
      </c>
      <c r="E4" s="21" t="s">
        <v>19</v>
      </c>
      <c r="F4" s="21" t="s">
        <v>21</v>
      </c>
      <c r="G4" s="21" t="s">
        <v>23</v>
      </c>
      <c r="H4" s="21" t="s">
        <v>24</v>
      </c>
      <c r="I4" s="21" t="s">
        <v>25</v>
      </c>
      <c r="J4" s="21" t="s">
        <v>26</v>
      </c>
      <c r="K4" s="21" t="s">
        <v>27</v>
      </c>
      <c r="L4" s="28" t="s">
        <v>28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5.5" customHeight="1">
      <c r="A5" s="30" t="s">
        <v>32</v>
      </c>
      <c r="B5" s="30" t="s">
        <v>34</v>
      </c>
      <c r="C5" s="33">
        <v>16.0</v>
      </c>
      <c r="D5" s="34">
        <v>16.0</v>
      </c>
      <c r="E5" s="35">
        <v>46167.0</v>
      </c>
      <c r="F5" s="34" t="b">
        <v>1</v>
      </c>
      <c r="G5" s="34" t="b">
        <v>1</v>
      </c>
      <c r="H5" s="34" t="b">
        <v>1</v>
      </c>
      <c r="I5" s="34" t="b">
        <v>1</v>
      </c>
      <c r="J5" s="34" t="b">
        <v>1</v>
      </c>
      <c r="K5" s="34" t="s">
        <v>44</v>
      </c>
      <c r="L5" s="30" t="s">
        <v>46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5.5" customHeight="1">
      <c r="A6" s="37" t="s">
        <v>32</v>
      </c>
      <c r="B6" s="37" t="s">
        <v>48</v>
      </c>
      <c r="C6" s="38">
        <v>8.0</v>
      </c>
      <c r="D6" s="39">
        <v>6.0</v>
      </c>
      <c r="E6" s="40">
        <v>46167.0</v>
      </c>
      <c r="F6" s="39" t="b">
        <v>1</v>
      </c>
      <c r="G6" s="39" t="b">
        <v>1</v>
      </c>
      <c r="H6" s="39" t="b">
        <v>1</v>
      </c>
      <c r="I6" s="39" t="b">
        <v>1</v>
      </c>
      <c r="J6" s="39" t="b">
        <v>1</v>
      </c>
      <c r="K6" s="39" t="s">
        <v>44</v>
      </c>
      <c r="L6" s="37" t="s">
        <v>46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5.5" customHeight="1">
      <c r="A7" s="30" t="s">
        <v>32</v>
      </c>
      <c r="B7" s="37" t="s">
        <v>50</v>
      </c>
      <c r="C7" s="38">
        <v>12.0</v>
      </c>
      <c r="D7" s="39">
        <v>12.0</v>
      </c>
      <c r="E7" s="40">
        <v>46170.0</v>
      </c>
      <c r="F7" s="39" t="b">
        <v>1</v>
      </c>
      <c r="G7" s="39" t="b">
        <v>1</v>
      </c>
      <c r="H7" s="39" t="b">
        <v>1</v>
      </c>
      <c r="I7" s="39" t="b">
        <v>1</v>
      </c>
      <c r="J7" s="39" t="b">
        <v>1</v>
      </c>
      <c r="K7" s="39" t="s">
        <v>44</v>
      </c>
      <c r="L7" s="30" t="s">
        <v>51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5.5" customHeight="1">
      <c r="A8" s="37" t="s">
        <v>52</v>
      </c>
      <c r="B8" s="37" t="s">
        <v>53</v>
      </c>
      <c r="C8" s="38">
        <v>8.0</v>
      </c>
      <c r="D8" s="39">
        <v>5.0</v>
      </c>
      <c r="E8" s="40">
        <v>46171.0</v>
      </c>
      <c r="F8" s="39"/>
      <c r="G8" s="39" t="b">
        <v>1</v>
      </c>
      <c r="H8" s="39" t="b">
        <v>1</v>
      </c>
      <c r="I8" s="39" t="b">
        <v>1</v>
      </c>
      <c r="J8" s="39" t="b">
        <v>1</v>
      </c>
      <c r="K8" s="39" t="s">
        <v>44</v>
      </c>
      <c r="L8" s="37" t="s">
        <v>55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5.5" customHeight="1">
      <c r="A9" s="30" t="s">
        <v>32</v>
      </c>
      <c r="B9" s="37" t="s">
        <v>56</v>
      </c>
      <c r="C9" s="38">
        <v>16.0</v>
      </c>
      <c r="D9" s="39">
        <v>16.0</v>
      </c>
      <c r="E9" s="40">
        <v>46175.0</v>
      </c>
      <c r="F9" s="34" t="b">
        <v>1</v>
      </c>
      <c r="G9" s="34"/>
      <c r="H9" s="34"/>
      <c r="I9" s="34"/>
      <c r="J9" s="34"/>
      <c r="K9" s="39" t="s">
        <v>44</v>
      </c>
      <c r="L9" s="30" t="s">
        <v>57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5.5" customHeight="1">
      <c r="A10" s="37" t="s">
        <v>32</v>
      </c>
      <c r="B10" s="37" t="s">
        <v>58</v>
      </c>
      <c r="C10" s="38">
        <v>10.0</v>
      </c>
      <c r="D10" s="39">
        <v>8.0</v>
      </c>
      <c r="E10" s="40">
        <v>46171.0</v>
      </c>
      <c r="F10" s="39" t="b">
        <v>1</v>
      </c>
      <c r="G10" s="39"/>
      <c r="H10" s="39"/>
      <c r="I10" s="39"/>
      <c r="J10" s="39"/>
      <c r="K10" s="39" t="s">
        <v>44</v>
      </c>
      <c r="L10" s="37" t="s">
        <v>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5.5" customHeight="1">
      <c r="A11" s="30" t="s">
        <v>52</v>
      </c>
      <c r="B11" s="37" t="s">
        <v>59</v>
      </c>
      <c r="C11" s="38">
        <v>4.0</v>
      </c>
      <c r="D11" s="39">
        <v>5.0</v>
      </c>
      <c r="E11" s="40">
        <v>46168.0</v>
      </c>
      <c r="F11" s="39"/>
      <c r="G11" s="39" t="b">
        <v>1</v>
      </c>
      <c r="H11" s="39"/>
      <c r="I11" s="39"/>
      <c r="J11" s="39"/>
      <c r="K11" s="39" t="s">
        <v>44</v>
      </c>
      <c r="L11" s="30" t="s">
        <v>61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5.5" customHeight="1">
      <c r="A12" s="37" t="s">
        <v>52</v>
      </c>
      <c r="B12" s="37" t="s">
        <v>62</v>
      </c>
      <c r="C12" s="38">
        <v>6.0</v>
      </c>
      <c r="D12" s="39">
        <v>4.0</v>
      </c>
      <c r="E12" s="40">
        <v>46168.0</v>
      </c>
      <c r="F12" s="39"/>
      <c r="G12" s="39" t="b">
        <v>1</v>
      </c>
      <c r="H12" s="39"/>
      <c r="I12" s="39"/>
      <c r="J12" s="39"/>
      <c r="K12" s="39" t="s">
        <v>44</v>
      </c>
      <c r="L12" s="37" t="s">
        <v>61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5.5" customHeight="1">
      <c r="A13" s="30" t="s">
        <v>63</v>
      </c>
      <c r="B13" s="37" t="s">
        <v>64</v>
      </c>
      <c r="C13" s="38">
        <v>24.0</v>
      </c>
      <c r="D13" s="39">
        <v>24.0</v>
      </c>
      <c r="E13" s="40">
        <v>46178.0</v>
      </c>
      <c r="F13" s="39"/>
      <c r="G13" s="39"/>
      <c r="H13" s="39" t="b">
        <v>1</v>
      </c>
      <c r="I13" s="39"/>
      <c r="J13" s="39"/>
      <c r="K13" s="39" t="s">
        <v>44</v>
      </c>
      <c r="L13" s="30" t="s">
        <v>65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5.5" customHeight="1">
      <c r="A14" s="37" t="s">
        <v>52</v>
      </c>
      <c r="B14" s="37" t="s">
        <v>66</v>
      </c>
      <c r="C14" s="38">
        <v>12.0</v>
      </c>
      <c r="D14" s="39">
        <v>12.0</v>
      </c>
      <c r="E14" s="40">
        <v>46167.0</v>
      </c>
      <c r="F14" s="39"/>
      <c r="G14" s="39"/>
      <c r="H14" s="39"/>
      <c r="I14" s="39" t="b">
        <v>1</v>
      </c>
      <c r="J14" s="39"/>
      <c r="K14" s="39" t="s">
        <v>44</v>
      </c>
      <c r="L14" s="37" t="s">
        <v>68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5.5" customHeight="1">
      <c r="A15" s="30" t="s">
        <v>52</v>
      </c>
      <c r="B15" s="37" t="s">
        <v>69</v>
      </c>
      <c r="C15" s="38">
        <v>12.0</v>
      </c>
      <c r="D15" s="39">
        <v>10.0</v>
      </c>
      <c r="E15" s="40">
        <v>46178.0</v>
      </c>
      <c r="F15" s="34"/>
      <c r="G15" s="34"/>
      <c r="H15" s="34"/>
      <c r="I15" s="34"/>
      <c r="J15" s="34" t="b">
        <v>1</v>
      </c>
      <c r="K15" s="39" t="s">
        <v>44</v>
      </c>
      <c r="L15" s="30" t="s">
        <v>70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5.5" customHeight="1">
      <c r="A16" s="37" t="s">
        <v>71</v>
      </c>
      <c r="B16" s="37" t="s">
        <v>72</v>
      </c>
      <c r="C16" s="38">
        <v>8.0</v>
      </c>
      <c r="D16" s="39">
        <v>8.0</v>
      </c>
      <c r="E16" s="40">
        <v>46177.0</v>
      </c>
      <c r="F16" s="39"/>
      <c r="G16" s="39"/>
      <c r="H16" s="39"/>
      <c r="I16" s="39" t="b">
        <v>1</v>
      </c>
      <c r="J16" s="39" t="b">
        <v>1</v>
      </c>
      <c r="K16" s="39" t="s">
        <v>44</v>
      </c>
      <c r="L16" s="37" t="s">
        <v>68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5.5" customHeight="1">
      <c r="A17" s="30" t="s">
        <v>52</v>
      </c>
      <c r="B17" s="37" t="s">
        <v>73</v>
      </c>
      <c r="C17" s="38">
        <v>12.0</v>
      </c>
      <c r="D17" s="39">
        <v>12.0</v>
      </c>
      <c r="E17" s="40">
        <v>46175.0</v>
      </c>
      <c r="F17" s="39"/>
      <c r="G17" s="39" t="b">
        <v>1</v>
      </c>
      <c r="H17" s="39"/>
      <c r="I17" s="39"/>
      <c r="J17" s="39"/>
      <c r="K17" s="39" t="s">
        <v>44</v>
      </c>
      <c r="L17" s="30" t="s">
        <v>55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5.5" customHeight="1">
      <c r="A18" s="37" t="s">
        <v>32</v>
      </c>
      <c r="B18" s="37" t="s">
        <v>74</v>
      </c>
      <c r="C18" s="38">
        <v>16.0</v>
      </c>
      <c r="D18" s="39">
        <v>26.0</v>
      </c>
      <c r="E18" s="40">
        <v>46176.0</v>
      </c>
      <c r="F18" s="39" t="b">
        <v>1</v>
      </c>
      <c r="G18" s="39"/>
      <c r="H18" s="39"/>
      <c r="I18" s="39"/>
      <c r="J18" s="39" t="b">
        <v>1</v>
      </c>
      <c r="K18" s="39" t="s">
        <v>44</v>
      </c>
      <c r="L18" s="37" t="s">
        <v>51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1.75" customHeight="1">
      <c r="A19" s="59"/>
      <c r="B19" s="53" t="s">
        <v>76</v>
      </c>
      <c r="C19" s="55">
        <f t="shared" ref="C19:D19" si="1">SUM(C5:C18)</f>
        <v>164</v>
      </c>
      <c r="D19" s="55">
        <f t="shared" si="1"/>
        <v>164</v>
      </c>
      <c r="E19" s="61"/>
      <c r="F19" s="63"/>
      <c r="G19" s="63"/>
      <c r="H19" s="63"/>
      <c r="I19" s="63"/>
      <c r="J19" s="63"/>
      <c r="K19" s="6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4.0" customHeight="1">
      <c r="A21" s="11"/>
      <c r="B21" s="65" t="s">
        <v>79</v>
      </c>
      <c r="C21" s="13"/>
      <c r="D21" s="13"/>
      <c r="E21" s="13"/>
      <c r="F21" s="13"/>
      <c r="G21" s="13"/>
      <c r="H21" s="13"/>
      <c r="I21" s="13"/>
      <c r="J21" s="13"/>
      <c r="K21" s="13"/>
      <c r="L21" s="1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36.0" customHeight="1">
      <c r="A22" s="19" t="s">
        <v>12</v>
      </c>
      <c r="B22" s="21" t="s">
        <v>14</v>
      </c>
      <c r="C22" s="21" t="s">
        <v>16</v>
      </c>
      <c r="D22" s="21" t="s">
        <v>17</v>
      </c>
      <c r="E22" s="21" t="s">
        <v>19</v>
      </c>
      <c r="F22" s="21" t="s">
        <v>21</v>
      </c>
      <c r="G22" s="21" t="s">
        <v>23</v>
      </c>
      <c r="H22" s="21" t="s">
        <v>24</v>
      </c>
      <c r="I22" s="21" t="s">
        <v>25</v>
      </c>
      <c r="J22" s="21" t="s">
        <v>26</v>
      </c>
      <c r="K22" s="68" t="s">
        <v>27</v>
      </c>
      <c r="L22" s="28" t="s">
        <v>28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5.5" customHeight="1">
      <c r="A23" s="69" t="s">
        <v>71</v>
      </c>
      <c r="B23" s="69" t="s">
        <v>84</v>
      </c>
      <c r="C23" s="70">
        <v>16.0</v>
      </c>
      <c r="D23" s="71">
        <v>16.0</v>
      </c>
      <c r="E23" s="72">
        <v>46185.0</v>
      </c>
      <c r="F23" s="73"/>
      <c r="G23" s="74" t="b">
        <v>1</v>
      </c>
      <c r="H23" s="73"/>
      <c r="I23" s="73"/>
      <c r="J23" s="73"/>
      <c r="K23" s="76" t="s">
        <v>44</v>
      </c>
      <c r="L23" s="69" t="s">
        <v>55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5.5" customHeight="1">
      <c r="A24" s="69" t="s">
        <v>71</v>
      </c>
      <c r="B24" s="69" t="s">
        <v>88</v>
      </c>
      <c r="C24" s="70">
        <v>12.0</v>
      </c>
      <c r="D24" s="71">
        <v>12.0</v>
      </c>
      <c r="E24" s="72">
        <v>46189.0</v>
      </c>
      <c r="F24" s="73"/>
      <c r="G24" s="74"/>
      <c r="H24" s="73"/>
      <c r="I24" s="73" t="b">
        <v>1</v>
      </c>
      <c r="J24" s="73"/>
      <c r="K24" s="78" t="s">
        <v>44</v>
      </c>
      <c r="L24" s="69" t="s">
        <v>68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5.5" customHeight="1">
      <c r="A25" s="69" t="s">
        <v>71</v>
      </c>
      <c r="B25" s="69" t="s">
        <v>94</v>
      </c>
      <c r="C25" s="70">
        <v>8.0</v>
      </c>
      <c r="D25" s="71">
        <v>8.0</v>
      </c>
      <c r="E25" s="82">
        <v>46189.0</v>
      </c>
      <c r="F25" s="73"/>
      <c r="G25" s="74"/>
      <c r="H25" s="73"/>
      <c r="I25" s="73" t="b">
        <v>1</v>
      </c>
      <c r="J25" s="73"/>
      <c r="K25" s="76" t="s">
        <v>44</v>
      </c>
      <c r="L25" s="69" t="s">
        <v>68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5.5" customHeight="1">
      <c r="A26" s="69" t="s">
        <v>71</v>
      </c>
      <c r="B26" s="69" t="s">
        <v>96</v>
      </c>
      <c r="C26" s="70">
        <v>16.0</v>
      </c>
      <c r="D26" s="71">
        <v>16.0</v>
      </c>
      <c r="E26" s="82">
        <v>46189.0</v>
      </c>
      <c r="F26" s="73"/>
      <c r="G26" s="74"/>
      <c r="H26" s="73"/>
      <c r="I26" s="73"/>
      <c r="J26" s="73" t="b">
        <v>1</v>
      </c>
      <c r="K26" s="76" t="s">
        <v>44</v>
      </c>
      <c r="L26" s="69" t="s">
        <v>70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5.5" customHeight="1">
      <c r="A27" s="69" t="s">
        <v>97</v>
      </c>
      <c r="B27" s="69" t="s">
        <v>98</v>
      </c>
      <c r="C27" s="70">
        <v>20.0</v>
      </c>
      <c r="D27" s="70">
        <v>20.0</v>
      </c>
      <c r="E27" s="82">
        <v>46196.0</v>
      </c>
      <c r="F27" s="73"/>
      <c r="G27" s="74" t="b">
        <v>1</v>
      </c>
      <c r="H27" s="73"/>
      <c r="I27" s="73"/>
      <c r="J27" s="73"/>
      <c r="K27" s="76" t="s">
        <v>44</v>
      </c>
      <c r="L27" s="69" t="s">
        <v>55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5.5" customHeight="1">
      <c r="A28" s="69" t="s">
        <v>97</v>
      </c>
      <c r="B28" s="69" t="s">
        <v>100</v>
      </c>
      <c r="C28" s="70">
        <v>12.0</v>
      </c>
      <c r="D28" s="71">
        <v>12.0</v>
      </c>
      <c r="E28" s="82">
        <v>46189.0</v>
      </c>
      <c r="F28" s="73"/>
      <c r="G28" s="74" t="b">
        <v>1</v>
      </c>
      <c r="H28" s="73"/>
      <c r="I28" s="73"/>
      <c r="J28" s="73"/>
      <c r="K28" s="76" t="s">
        <v>44</v>
      </c>
      <c r="L28" s="69" t="s">
        <v>55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5.5" customHeight="1">
      <c r="A29" s="69" t="s">
        <v>97</v>
      </c>
      <c r="B29" s="69" t="s">
        <v>102</v>
      </c>
      <c r="C29" s="70">
        <v>4.0</v>
      </c>
      <c r="D29" s="70">
        <v>4.0</v>
      </c>
      <c r="E29" s="82">
        <v>46192.0</v>
      </c>
      <c r="F29" s="73"/>
      <c r="G29" s="74" t="b">
        <v>1</v>
      </c>
      <c r="H29" s="73"/>
      <c r="I29" s="73"/>
      <c r="J29" s="73"/>
      <c r="K29" s="76" t="s">
        <v>44</v>
      </c>
      <c r="L29" s="69" t="s">
        <v>55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5.5" customHeight="1">
      <c r="A30" s="69" t="s">
        <v>97</v>
      </c>
      <c r="B30" s="69" t="s">
        <v>104</v>
      </c>
      <c r="C30" s="70">
        <v>16.0</v>
      </c>
      <c r="D30" s="70">
        <v>16.0</v>
      </c>
      <c r="E30" s="82">
        <v>46190.0</v>
      </c>
      <c r="F30" s="73"/>
      <c r="G30" s="74"/>
      <c r="H30" s="73"/>
      <c r="I30" s="73" t="b">
        <v>1</v>
      </c>
      <c r="J30" s="73"/>
      <c r="K30" s="76" t="s">
        <v>44</v>
      </c>
      <c r="L30" s="69" t="s">
        <v>68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5.5" customHeight="1">
      <c r="A31" s="69" t="s">
        <v>97</v>
      </c>
      <c r="B31" s="69" t="s">
        <v>106</v>
      </c>
      <c r="C31" s="70">
        <v>16.0</v>
      </c>
      <c r="D31" s="70">
        <v>16.0</v>
      </c>
      <c r="E31" s="82">
        <v>46190.0</v>
      </c>
      <c r="F31" s="73"/>
      <c r="G31" s="74"/>
      <c r="H31" s="73"/>
      <c r="I31" s="73" t="b">
        <v>1</v>
      </c>
      <c r="J31" s="73"/>
      <c r="K31" s="76" t="s">
        <v>44</v>
      </c>
      <c r="L31" s="69" t="s">
        <v>68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5.5" customHeight="1">
      <c r="A32" s="69" t="s">
        <v>97</v>
      </c>
      <c r="B32" s="69" t="s">
        <v>108</v>
      </c>
      <c r="C32" s="70">
        <v>28.0</v>
      </c>
      <c r="D32" s="71">
        <v>24.0</v>
      </c>
      <c r="E32" s="82">
        <v>46203.0</v>
      </c>
      <c r="F32" s="73"/>
      <c r="G32" s="74"/>
      <c r="H32" s="73"/>
      <c r="I32" s="73"/>
      <c r="J32" s="73" t="b">
        <v>1</v>
      </c>
      <c r="K32" s="76" t="s">
        <v>44</v>
      </c>
      <c r="L32" s="69" t="s">
        <v>70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5.5" customHeight="1">
      <c r="A33" s="69" t="s">
        <v>63</v>
      </c>
      <c r="B33" s="69" t="s">
        <v>110</v>
      </c>
      <c r="C33" s="70">
        <v>16.0</v>
      </c>
      <c r="D33" s="70">
        <v>16.0</v>
      </c>
      <c r="E33" s="82">
        <v>46190.0</v>
      </c>
      <c r="F33" s="73"/>
      <c r="G33" s="74"/>
      <c r="H33" s="73" t="b">
        <v>1</v>
      </c>
      <c r="I33" s="73"/>
      <c r="J33" s="73"/>
      <c r="K33" s="76" t="s">
        <v>44</v>
      </c>
      <c r="L33" s="69" t="s">
        <v>65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25.5" customHeight="1">
      <c r="A34" s="69" t="s">
        <v>63</v>
      </c>
      <c r="B34" s="69" t="s">
        <v>112</v>
      </c>
      <c r="C34" s="70">
        <v>24.0</v>
      </c>
      <c r="D34" s="70">
        <v>24.0</v>
      </c>
      <c r="E34" s="82">
        <v>46191.0</v>
      </c>
      <c r="F34" s="73"/>
      <c r="G34" s="74"/>
      <c r="H34" s="73" t="b">
        <v>1</v>
      </c>
      <c r="I34" s="73"/>
      <c r="J34" s="73"/>
      <c r="K34" s="76" t="s">
        <v>44</v>
      </c>
      <c r="L34" s="69" t="s">
        <v>65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25.5" customHeight="1">
      <c r="A35" s="69" t="s">
        <v>114</v>
      </c>
      <c r="B35" s="69" t="s">
        <v>115</v>
      </c>
      <c r="C35" s="70">
        <v>8.0</v>
      </c>
      <c r="D35" s="70">
        <v>8.0</v>
      </c>
      <c r="E35" s="82">
        <v>46192.0</v>
      </c>
      <c r="F35" s="73"/>
      <c r="G35" s="74"/>
      <c r="H35" s="73"/>
      <c r="I35" s="73" t="b">
        <v>1</v>
      </c>
      <c r="J35" s="73"/>
      <c r="K35" s="76" t="s">
        <v>44</v>
      </c>
      <c r="L35" s="69" t="s">
        <v>68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25.5" customHeight="1">
      <c r="A36" s="69" t="s">
        <v>114</v>
      </c>
      <c r="B36" s="69" t="s">
        <v>117</v>
      </c>
      <c r="C36" s="70">
        <v>6.0</v>
      </c>
      <c r="D36" s="70">
        <v>6.0</v>
      </c>
      <c r="E36" s="82">
        <v>46203.0</v>
      </c>
      <c r="F36" s="73"/>
      <c r="G36" s="74"/>
      <c r="H36" s="73"/>
      <c r="I36" s="73"/>
      <c r="J36" s="73" t="b">
        <v>1</v>
      </c>
      <c r="K36" s="76" t="s">
        <v>44</v>
      </c>
      <c r="L36" s="69" t="s">
        <v>70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25.5" customHeight="1">
      <c r="A37" s="69" t="s">
        <v>32</v>
      </c>
      <c r="B37" s="69" t="s">
        <v>80</v>
      </c>
      <c r="C37" s="70">
        <v>6.0</v>
      </c>
      <c r="D37" s="70">
        <v>6.0</v>
      </c>
      <c r="E37" s="82">
        <v>46192.0</v>
      </c>
      <c r="F37" s="74" t="b">
        <v>1</v>
      </c>
      <c r="G37" s="74"/>
      <c r="H37" s="73"/>
      <c r="I37" s="73"/>
      <c r="J37" s="73"/>
      <c r="K37" s="76" t="s">
        <v>44</v>
      </c>
      <c r="L37" s="69" t="s">
        <v>57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21.75" customHeight="1">
      <c r="A38" s="69" t="s">
        <v>32</v>
      </c>
      <c r="B38" s="69" t="s">
        <v>121</v>
      </c>
      <c r="C38" s="70">
        <v>16.0</v>
      </c>
      <c r="D38" s="71">
        <v>16.0</v>
      </c>
      <c r="E38" s="82">
        <v>46189.0</v>
      </c>
      <c r="F38" s="73" t="b">
        <v>1</v>
      </c>
      <c r="G38" s="74"/>
      <c r="H38" s="73"/>
      <c r="I38" s="73"/>
      <c r="J38" s="73"/>
      <c r="K38" s="76" t="s">
        <v>44</v>
      </c>
      <c r="L38" s="69" t="s">
        <v>51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5.5" customHeight="1">
      <c r="A39" s="69" t="s">
        <v>123</v>
      </c>
      <c r="B39" s="69" t="s">
        <v>124</v>
      </c>
      <c r="C39" s="70">
        <v>6.0</v>
      </c>
      <c r="D39" s="70">
        <v>6.0</v>
      </c>
      <c r="E39" s="82">
        <v>46198.0</v>
      </c>
      <c r="F39" s="74" t="b">
        <v>1</v>
      </c>
      <c r="G39" s="74"/>
      <c r="H39" s="73"/>
      <c r="I39" s="73"/>
      <c r="J39" s="73"/>
      <c r="K39" s="76" t="s">
        <v>44</v>
      </c>
      <c r="L39" s="69" t="s">
        <v>65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21.75" customHeight="1">
      <c r="A40" s="102"/>
      <c r="B40" s="103" t="s">
        <v>125</v>
      </c>
      <c r="C40" s="105">
        <f>sum(C23:C38)</f>
        <v>224</v>
      </c>
      <c r="D40" s="105">
        <f>sum(D23:D39)</f>
        <v>226</v>
      </c>
      <c r="E40" s="106"/>
      <c r="F40" s="106"/>
      <c r="G40" s="106"/>
      <c r="H40" s="106"/>
      <c r="I40" s="106"/>
      <c r="J40" s="106"/>
      <c r="K40" s="10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24.0" customHeight="1">
      <c r="A42" s="11"/>
      <c r="B42" s="65" t="s">
        <v>13</v>
      </c>
      <c r="C42" s="13"/>
      <c r="D42" s="13"/>
      <c r="E42" s="13"/>
      <c r="F42" s="13"/>
      <c r="G42" s="13"/>
      <c r="H42" s="13"/>
      <c r="I42" s="13"/>
      <c r="J42" s="13"/>
      <c r="K42" s="13"/>
      <c r="L42" s="1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36.0" customHeight="1">
      <c r="A43" s="19" t="s">
        <v>12</v>
      </c>
      <c r="B43" s="21" t="s">
        <v>14</v>
      </c>
      <c r="C43" s="21" t="s">
        <v>16</v>
      </c>
      <c r="D43" s="21" t="s">
        <v>17</v>
      </c>
      <c r="E43" s="21" t="s">
        <v>19</v>
      </c>
      <c r="F43" s="21" t="s">
        <v>21</v>
      </c>
      <c r="G43" s="21" t="s">
        <v>23</v>
      </c>
      <c r="H43" s="21" t="s">
        <v>24</v>
      </c>
      <c r="I43" s="21" t="s">
        <v>25</v>
      </c>
      <c r="J43" s="21" t="s">
        <v>26</v>
      </c>
      <c r="K43" s="21" t="s">
        <v>27</v>
      </c>
      <c r="L43" s="28" t="s">
        <v>28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25.5" customHeight="1">
      <c r="A44" s="69" t="s">
        <v>97</v>
      </c>
      <c r="B44" s="69" t="s">
        <v>127</v>
      </c>
      <c r="C44" s="69">
        <v>6.0</v>
      </c>
      <c r="D44" s="69">
        <v>6.0</v>
      </c>
      <c r="E44" s="107">
        <v>46205.0</v>
      </c>
      <c r="F44" s="69"/>
      <c r="G44" s="108" t="b">
        <v>1</v>
      </c>
      <c r="H44" s="69"/>
      <c r="I44" s="69"/>
      <c r="J44" s="69"/>
      <c r="K44" s="76" t="s">
        <v>44</v>
      </c>
      <c r="L44" s="69" t="s">
        <v>55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25.5" customHeight="1">
      <c r="A45" s="69" t="s">
        <v>97</v>
      </c>
      <c r="B45" s="69" t="s">
        <v>128</v>
      </c>
      <c r="C45" s="69">
        <v>4.0</v>
      </c>
      <c r="D45" s="69">
        <v>4.0</v>
      </c>
      <c r="E45" s="107">
        <v>46206.0</v>
      </c>
      <c r="F45" s="69"/>
      <c r="G45" s="108" t="b">
        <v>1</v>
      </c>
      <c r="H45" s="69"/>
      <c r="I45" s="69" t="b">
        <v>1</v>
      </c>
      <c r="J45" s="108" t="b">
        <v>1</v>
      </c>
      <c r="K45" s="76" t="s">
        <v>44</v>
      </c>
      <c r="L45" s="69" t="s">
        <v>68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25.5" customHeight="1">
      <c r="A46" s="69" t="s">
        <v>97</v>
      </c>
      <c r="B46" s="69" t="s">
        <v>129</v>
      </c>
      <c r="C46" s="69">
        <v>20.0</v>
      </c>
      <c r="D46" s="69">
        <v>20.0</v>
      </c>
      <c r="E46" s="107">
        <v>46198.0</v>
      </c>
      <c r="F46" s="69"/>
      <c r="G46" s="69" t="b">
        <v>1</v>
      </c>
      <c r="H46" s="69"/>
      <c r="I46" s="69"/>
      <c r="J46" s="69"/>
      <c r="K46" s="76" t="s">
        <v>44</v>
      </c>
      <c r="L46" s="69" t="s">
        <v>55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25.5" customHeight="1">
      <c r="A47" s="69" t="s">
        <v>97</v>
      </c>
      <c r="B47" s="69" t="s">
        <v>130</v>
      </c>
      <c r="C47" s="69">
        <v>8.0</v>
      </c>
      <c r="D47" s="69">
        <v>8.0</v>
      </c>
      <c r="E47" s="107">
        <v>46198.0</v>
      </c>
      <c r="F47" s="69"/>
      <c r="G47" s="69"/>
      <c r="H47" s="69"/>
      <c r="I47" s="69" t="b">
        <v>1</v>
      </c>
      <c r="J47" s="69"/>
      <c r="K47" s="76" t="s">
        <v>44</v>
      </c>
      <c r="L47" s="69" t="s">
        <v>68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25.5" customHeight="1">
      <c r="A48" s="69" t="s">
        <v>97</v>
      </c>
      <c r="B48" s="69" t="s">
        <v>131</v>
      </c>
      <c r="C48" s="69">
        <v>8.0</v>
      </c>
      <c r="D48" s="69">
        <v>8.0</v>
      </c>
      <c r="E48" s="107">
        <v>46203.0</v>
      </c>
      <c r="F48" s="69"/>
      <c r="G48" s="69"/>
      <c r="H48" s="69"/>
      <c r="I48" s="69"/>
      <c r="J48" s="69" t="b">
        <v>1</v>
      </c>
      <c r="K48" s="76" t="s">
        <v>44</v>
      </c>
      <c r="L48" s="69" t="s">
        <v>70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25.5" customHeight="1">
      <c r="A49" s="69" t="s">
        <v>63</v>
      </c>
      <c r="B49" s="69" t="s">
        <v>132</v>
      </c>
      <c r="C49" s="69">
        <v>12.0</v>
      </c>
      <c r="D49" s="69">
        <v>12.0</v>
      </c>
      <c r="E49" s="107">
        <v>46198.0</v>
      </c>
      <c r="F49" s="69"/>
      <c r="G49" s="69"/>
      <c r="H49" s="69" t="b">
        <v>1</v>
      </c>
      <c r="I49" s="69"/>
      <c r="J49" s="69"/>
      <c r="K49" s="76" t="s">
        <v>44</v>
      </c>
      <c r="L49" s="69" t="s">
        <v>65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25.5" customHeight="1">
      <c r="A50" s="69" t="s">
        <v>63</v>
      </c>
      <c r="B50" s="69" t="s">
        <v>133</v>
      </c>
      <c r="C50" s="69">
        <v>20.0</v>
      </c>
      <c r="D50" s="69">
        <v>20.0</v>
      </c>
      <c r="E50" s="107">
        <v>46204.0</v>
      </c>
      <c r="F50" s="69"/>
      <c r="G50" s="69"/>
      <c r="H50" s="69" t="b">
        <v>1</v>
      </c>
      <c r="I50" s="69"/>
      <c r="J50" s="69"/>
      <c r="K50" s="76" t="s">
        <v>44</v>
      </c>
      <c r="L50" s="69" t="s">
        <v>65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25.5" customHeight="1">
      <c r="A51" s="69" t="s">
        <v>114</v>
      </c>
      <c r="B51" s="69" t="s">
        <v>134</v>
      </c>
      <c r="C51" s="69">
        <v>20.0</v>
      </c>
      <c r="D51" s="69">
        <v>20.0</v>
      </c>
      <c r="E51" s="107">
        <v>46204.0</v>
      </c>
      <c r="F51" s="69"/>
      <c r="G51" s="69" t="b">
        <v>1</v>
      </c>
      <c r="H51" s="69"/>
      <c r="I51" s="69"/>
      <c r="J51" s="69"/>
      <c r="K51" s="76" t="s">
        <v>44</v>
      </c>
      <c r="L51" s="69" t="s">
        <v>65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25.5" customHeight="1">
      <c r="A52" s="69" t="s">
        <v>114</v>
      </c>
      <c r="B52" s="69" t="s">
        <v>136</v>
      </c>
      <c r="C52" s="69">
        <v>16.0</v>
      </c>
      <c r="D52" s="69">
        <v>16.0</v>
      </c>
      <c r="E52" s="107">
        <v>46204.0</v>
      </c>
      <c r="F52" s="69"/>
      <c r="G52" s="69" t="b">
        <v>1</v>
      </c>
      <c r="H52" s="69"/>
      <c r="I52" s="69"/>
      <c r="J52" s="69"/>
      <c r="K52" s="76" t="s">
        <v>44</v>
      </c>
      <c r="L52" s="69" t="s">
        <v>65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25.5" customHeight="1">
      <c r="A53" s="69" t="s">
        <v>114</v>
      </c>
      <c r="B53" s="69" t="s">
        <v>137</v>
      </c>
      <c r="C53" s="69">
        <v>12.0</v>
      </c>
      <c r="D53" s="69">
        <v>28.0</v>
      </c>
      <c r="E53" s="107">
        <v>46210.0</v>
      </c>
      <c r="F53" s="69"/>
      <c r="G53" s="69" t="b">
        <v>1</v>
      </c>
      <c r="H53" s="69"/>
      <c r="I53" s="69"/>
      <c r="J53" s="69"/>
      <c r="K53" s="76" t="s">
        <v>44</v>
      </c>
      <c r="L53" s="69" t="s">
        <v>65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24.0" customHeight="1">
      <c r="A54" s="69" t="s">
        <v>114</v>
      </c>
      <c r="B54" s="69" t="s">
        <v>138</v>
      </c>
      <c r="C54" s="69">
        <v>20.0</v>
      </c>
      <c r="D54" s="69">
        <v>20.0</v>
      </c>
      <c r="E54" s="107">
        <v>46204.0</v>
      </c>
      <c r="F54" s="69"/>
      <c r="G54" s="69"/>
      <c r="H54" s="69"/>
      <c r="I54" s="69" t="b">
        <v>1</v>
      </c>
      <c r="J54" s="69"/>
      <c r="K54" s="76" t="s">
        <v>44</v>
      </c>
      <c r="L54" s="69" t="s">
        <v>68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25.5" customHeight="1">
      <c r="A55" s="69" t="s">
        <v>114</v>
      </c>
      <c r="B55" s="69" t="s">
        <v>140</v>
      </c>
      <c r="C55" s="69">
        <v>16.0</v>
      </c>
      <c r="D55" s="69">
        <v>16.0</v>
      </c>
      <c r="E55" s="107">
        <v>46204.0</v>
      </c>
      <c r="F55" s="69"/>
      <c r="G55" s="69"/>
      <c r="H55" s="69"/>
      <c r="I55" s="69" t="b">
        <v>1</v>
      </c>
      <c r="J55" s="69"/>
      <c r="K55" s="76" t="s">
        <v>44</v>
      </c>
      <c r="L55" s="69" t="s">
        <v>68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25.5" customHeight="1">
      <c r="A56" s="69" t="s">
        <v>114</v>
      </c>
      <c r="B56" s="69" t="s">
        <v>141</v>
      </c>
      <c r="C56" s="69">
        <v>6.0</v>
      </c>
      <c r="D56" s="69">
        <v>6.0</v>
      </c>
      <c r="E56" s="107">
        <v>46199.0</v>
      </c>
      <c r="F56" s="69"/>
      <c r="G56" s="69"/>
      <c r="H56" s="69"/>
      <c r="I56" s="69" t="b">
        <v>1</v>
      </c>
      <c r="J56" s="69"/>
      <c r="K56" s="76" t="s">
        <v>44</v>
      </c>
      <c r="L56" s="69" t="s">
        <v>68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25.5" customHeight="1">
      <c r="A57" s="69" t="s">
        <v>114</v>
      </c>
      <c r="B57" s="69" t="s">
        <v>143</v>
      </c>
      <c r="C57" s="69">
        <v>6.0</v>
      </c>
      <c r="D57" s="69">
        <v>6.0</v>
      </c>
      <c r="E57" s="107">
        <v>46199.0</v>
      </c>
      <c r="F57" s="69"/>
      <c r="G57" s="69"/>
      <c r="H57" s="69"/>
      <c r="I57" s="69" t="b">
        <v>1</v>
      </c>
      <c r="J57" s="69"/>
      <c r="K57" s="76" t="s">
        <v>44</v>
      </c>
      <c r="L57" s="69" t="s">
        <v>68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25.5" customHeight="1">
      <c r="A58" s="69" t="s">
        <v>114</v>
      </c>
      <c r="B58" s="69" t="s">
        <v>145</v>
      </c>
      <c r="C58" s="69">
        <v>24.0</v>
      </c>
      <c r="D58" s="69">
        <v>6.0</v>
      </c>
      <c r="E58" s="107">
        <v>46199.0</v>
      </c>
      <c r="F58" s="69"/>
      <c r="G58" s="69"/>
      <c r="H58" s="69"/>
      <c r="I58" s="69"/>
      <c r="J58" s="69" t="b">
        <v>1</v>
      </c>
      <c r="K58" s="76" t="s">
        <v>44</v>
      </c>
      <c r="L58" s="69" t="s">
        <v>70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24.0" customHeight="1">
      <c r="A59" s="69" t="s">
        <v>114</v>
      </c>
      <c r="B59" s="69" t="s">
        <v>146</v>
      </c>
      <c r="C59" s="69">
        <v>16.0</v>
      </c>
      <c r="D59" s="69">
        <v>6.0</v>
      </c>
      <c r="E59" s="107">
        <v>46199.0</v>
      </c>
      <c r="F59" s="69"/>
      <c r="G59" s="69"/>
      <c r="H59" s="69"/>
      <c r="I59" s="69"/>
      <c r="J59" s="69" t="b">
        <v>1</v>
      </c>
      <c r="K59" s="76" t="s">
        <v>44</v>
      </c>
      <c r="L59" s="69" t="s">
        <v>70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25.5" customHeight="1">
      <c r="A60" s="69" t="s">
        <v>114</v>
      </c>
      <c r="B60" s="108" t="s">
        <v>148</v>
      </c>
      <c r="C60" s="69">
        <v>12.0</v>
      </c>
      <c r="D60" s="69">
        <v>12.0</v>
      </c>
      <c r="E60" s="107">
        <v>46199.0</v>
      </c>
      <c r="F60" s="69"/>
      <c r="G60" s="69"/>
      <c r="H60" s="69"/>
      <c r="I60" s="69" t="b">
        <v>1</v>
      </c>
      <c r="J60" s="69"/>
      <c r="K60" s="76" t="s">
        <v>149</v>
      </c>
      <c r="L60" s="69" t="s">
        <v>68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25.5" customHeight="1">
      <c r="A61" s="69" t="s">
        <v>114</v>
      </c>
      <c r="B61" s="69" t="s">
        <v>150</v>
      </c>
      <c r="C61" s="69">
        <v>20.0</v>
      </c>
      <c r="D61" s="69">
        <v>6.0</v>
      </c>
      <c r="E61" s="107">
        <v>46199.0</v>
      </c>
      <c r="F61" s="69"/>
      <c r="G61" s="69"/>
      <c r="H61" s="69"/>
      <c r="I61" s="69"/>
      <c r="J61" s="69" t="b">
        <v>1</v>
      </c>
      <c r="K61" s="76" t="s">
        <v>44</v>
      </c>
      <c r="L61" s="69" t="s">
        <v>70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25.5" customHeight="1">
      <c r="A62" s="69" t="s">
        <v>114</v>
      </c>
      <c r="B62" s="69" t="s">
        <v>152</v>
      </c>
      <c r="C62" s="69">
        <v>6.0</v>
      </c>
      <c r="D62" s="69">
        <v>6.0</v>
      </c>
      <c r="E62" s="107">
        <v>46199.0</v>
      </c>
      <c r="F62" s="69"/>
      <c r="G62" s="108" t="b">
        <v>1</v>
      </c>
      <c r="H62" s="69"/>
      <c r="I62" s="69" t="b">
        <v>1</v>
      </c>
      <c r="J62" s="69" t="b">
        <v>1</v>
      </c>
      <c r="K62" s="76" t="s">
        <v>44</v>
      </c>
      <c r="L62" s="69" t="s">
        <v>68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25.5" customHeight="1">
      <c r="A63" s="69" t="s">
        <v>32</v>
      </c>
      <c r="B63" s="69" t="s">
        <v>83</v>
      </c>
      <c r="C63" s="69">
        <v>10.0</v>
      </c>
      <c r="D63" s="69">
        <v>10.0</v>
      </c>
      <c r="E63" s="107">
        <v>46204.0</v>
      </c>
      <c r="F63" s="69" t="b">
        <v>1</v>
      </c>
      <c r="G63" s="69"/>
      <c r="H63" s="69"/>
      <c r="I63" s="69"/>
      <c r="J63" s="69"/>
      <c r="K63" s="76" t="s">
        <v>44</v>
      </c>
      <c r="L63" s="69" t="s">
        <v>51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25.5" customHeight="1">
      <c r="A64" s="69" t="s">
        <v>32</v>
      </c>
      <c r="B64" s="69" t="s">
        <v>91</v>
      </c>
      <c r="C64" s="69">
        <v>6.0</v>
      </c>
      <c r="D64" s="69">
        <v>6.0</v>
      </c>
      <c r="E64" s="107">
        <v>46204.0</v>
      </c>
      <c r="F64" s="69" t="b">
        <v>1</v>
      </c>
      <c r="G64" s="69"/>
      <c r="H64" s="69"/>
      <c r="I64" s="69"/>
      <c r="J64" s="69"/>
      <c r="K64" s="76" t="s">
        <v>44</v>
      </c>
      <c r="L64" s="69" t="s">
        <v>68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25.5" customHeight="1">
      <c r="A65" s="69" t="s">
        <v>32</v>
      </c>
      <c r="B65" s="69" t="s">
        <v>156</v>
      </c>
      <c r="C65" s="69">
        <v>4.0</v>
      </c>
      <c r="D65" s="69">
        <v>4.0</v>
      </c>
      <c r="E65" s="107">
        <v>46206.0</v>
      </c>
      <c r="F65" s="69" t="b">
        <v>1</v>
      </c>
      <c r="G65" s="69"/>
      <c r="H65" s="69"/>
      <c r="I65" s="69"/>
      <c r="J65" s="69"/>
      <c r="K65" s="76" t="s">
        <v>44</v>
      </c>
      <c r="L65" s="69" t="s">
        <v>157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25.5" customHeight="1">
      <c r="A66" s="69" t="s">
        <v>32</v>
      </c>
      <c r="B66" s="69" t="s">
        <v>95</v>
      </c>
      <c r="C66" s="69">
        <v>6.0</v>
      </c>
      <c r="D66" s="69">
        <v>6.0</v>
      </c>
      <c r="E66" s="107">
        <v>46206.0</v>
      </c>
      <c r="F66" s="69" t="b">
        <v>1</v>
      </c>
      <c r="G66" s="69"/>
      <c r="H66" s="69"/>
      <c r="I66" s="69"/>
      <c r="J66" s="69"/>
      <c r="K66" s="76" t="s">
        <v>44</v>
      </c>
      <c r="L66" s="69" t="s">
        <v>57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21.75" customHeight="1">
      <c r="A67" s="102"/>
      <c r="B67" s="103" t="s">
        <v>160</v>
      </c>
      <c r="C67" s="106">
        <f t="shared" ref="C67:D67" si="2">SUM(C43:C66)</f>
        <v>278</v>
      </c>
      <c r="D67" s="106">
        <f t="shared" si="2"/>
        <v>252</v>
      </c>
      <c r="E67" s="106"/>
      <c r="F67" s="106"/>
      <c r="G67" s="106"/>
      <c r="H67" s="106"/>
      <c r="I67" s="106"/>
      <c r="J67" s="106"/>
      <c r="K67" s="10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24.0" customHeight="1">
      <c r="A69" s="11"/>
      <c r="B69" s="65" t="s">
        <v>15</v>
      </c>
      <c r="C69" s="13"/>
      <c r="D69" s="13"/>
      <c r="E69" s="13"/>
      <c r="F69" s="13"/>
      <c r="G69" s="13"/>
      <c r="H69" s="13"/>
      <c r="I69" s="13"/>
      <c r="J69" s="13"/>
      <c r="K69" s="13"/>
      <c r="L69" s="1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36.0" customHeight="1">
      <c r="A70" s="19"/>
      <c r="B70" s="21" t="s">
        <v>14</v>
      </c>
      <c r="C70" s="21" t="s">
        <v>16</v>
      </c>
      <c r="D70" s="21" t="s">
        <v>17</v>
      </c>
      <c r="E70" s="21" t="s">
        <v>19</v>
      </c>
      <c r="F70" s="21" t="s">
        <v>21</v>
      </c>
      <c r="G70" s="21" t="s">
        <v>23</v>
      </c>
      <c r="H70" s="21" t="s">
        <v>24</v>
      </c>
      <c r="I70" s="21" t="s">
        <v>25</v>
      </c>
      <c r="J70" s="21" t="s">
        <v>26</v>
      </c>
      <c r="K70" s="21" t="s">
        <v>27</v>
      </c>
      <c r="L70" s="28" t="s">
        <v>28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24.0" customHeight="1">
      <c r="A71" s="69" t="s">
        <v>97</v>
      </c>
      <c r="B71" s="69" t="s">
        <v>162</v>
      </c>
      <c r="C71" s="69">
        <v>16.0</v>
      </c>
      <c r="D71" s="69">
        <v>16.0</v>
      </c>
      <c r="E71" s="107">
        <v>46214.0</v>
      </c>
      <c r="F71" s="69"/>
      <c r="G71" s="69"/>
      <c r="H71" s="69"/>
      <c r="I71" s="69" t="b">
        <v>1</v>
      </c>
      <c r="J71" s="69" t="b">
        <v>1</v>
      </c>
      <c r="K71" s="34" t="s">
        <v>44</v>
      </c>
      <c r="L71" s="69" t="s">
        <v>68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25.5" customHeight="1">
      <c r="A72" s="69" t="s">
        <v>163</v>
      </c>
      <c r="B72" s="69" t="s">
        <v>164</v>
      </c>
      <c r="C72" s="69">
        <v>4.0</v>
      </c>
      <c r="D72" s="69">
        <v>4.0</v>
      </c>
      <c r="E72" s="107">
        <v>46216.0</v>
      </c>
      <c r="F72" s="69"/>
      <c r="G72" s="69"/>
      <c r="H72" s="69"/>
      <c r="I72" s="69" t="b">
        <v>1</v>
      </c>
      <c r="J72" s="69"/>
      <c r="K72" s="34" t="s">
        <v>44</v>
      </c>
      <c r="L72" s="69" t="s">
        <v>68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25.5" customHeight="1">
      <c r="A73" s="69" t="s">
        <v>163</v>
      </c>
      <c r="B73" s="69" t="s">
        <v>166</v>
      </c>
      <c r="C73" s="69">
        <v>4.0</v>
      </c>
      <c r="D73" s="69">
        <v>4.0</v>
      </c>
      <c r="E73" s="107">
        <v>46211.0</v>
      </c>
      <c r="F73" s="69"/>
      <c r="G73" s="69"/>
      <c r="H73" s="69"/>
      <c r="I73" s="69"/>
      <c r="J73" s="69" t="b">
        <v>1</v>
      </c>
      <c r="K73" s="34" t="s">
        <v>44</v>
      </c>
      <c r="L73" s="69" t="s">
        <v>70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24.0" customHeight="1">
      <c r="A74" s="69" t="s">
        <v>123</v>
      </c>
      <c r="B74" s="69" t="s">
        <v>151</v>
      </c>
      <c r="C74" s="69">
        <v>16.0</v>
      </c>
      <c r="D74" s="69">
        <v>16.0</v>
      </c>
      <c r="E74" s="107">
        <v>46216.0</v>
      </c>
      <c r="F74" s="69"/>
      <c r="G74" s="69" t="b">
        <v>1</v>
      </c>
      <c r="H74" s="69"/>
      <c r="I74" s="69"/>
      <c r="J74" s="69"/>
      <c r="K74" s="34" t="s">
        <v>44</v>
      </c>
      <c r="L74" s="69" t="s">
        <v>65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24.0" customHeight="1">
      <c r="A75" s="69" t="s">
        <v>123</v>
      </c>
      <c r="B75" s="69" t="s">
        <v>168</v>
      </c>
      <c r="C75" s="69">
        <v>12.0</v>
      </c>
      <c r="D75" s="69">
        <v>12.0</v>
      </c>
      <c r="E75" s="107">
        <v>46216.0</v>
      </c>
      <c r="F75" s="69"/>
      <c r="G75" s="69"/>
      <c r="H75" s="69"/>
      <c r="I75" s="69" t="b">
        <v>1</v>
      </c>
      <c r="J75" s="69"/>
      <c r="K75" s="34" t="s">
        <v>44</v>
      </c>
      <c r="L75" s="69" t="s">
        <v>68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25.5" customHeight="1">
      <c r="A76" s="69" t="s">
        <v>123</v>
      </c>
      <c r="B76" s="69" t="s">
        <v>169</v>
      </c>
      <c r="C76" s="69">
        <v>12.0</v>
      </c>
      <c r="D76" s="69">
        <v>12.0</v>
      </c>
      <c r="E76" s="107">
        <v>46217.0</v>
      </c>
      <c r="F76" s="69"/>
      <c r="G76" s="69"/>
      <c r="H76" s="69"/>
      <c r="I76" s="69"/>
      <c r="J76" s="108" t="b">
        <v>1</v>
      </c>
      <c r="K76" s="34" t="s">
        <v>44</v>
      </c>
      <c r="L76" s="69" t="s">
        <v>70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24.0" customHeight="1">
      <c r="A77" s="69" t="s">
        <v>52</v>
      </c>
      <c r="B77" s="69" t="s">
        <v>170</v>
      </c>
      <c r="C77" s="69">
        <v>12.0</v>
      </c>
      <c r="D77" s="69">
        <v>12.0</v>
      </c>
      <c r="E77" s="107">
        <v>46216.0</v>
      </c>
      <c r="F77" s="69"/>
      <c r="G77" s="3"/>
      <c r="H77" s="69" t="b">
        <v>1</v>
      </c>
      <c r="I77" s="69"/>
      <c r="J77" s="69"/>
      <c r="K77" s="34" t="s">
        <v>44</v>
      </c>
      <c r="L77" s="69" t="s">
        <v>61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24.0" customHeight="1">
      <c r="A78" s="69" t="s">
        <v>52</v>
      </c>
      <c r="B78" s="69" t="s">
        <v>159</v>
      </c>
      <c r="C78" s="69">
        <v>16.0</v>
      </c>
      <c r="D78" s="69">
        <v>16.0</v>
      </c>
      <c r="E78" s="107">
        <v>46218.0</v>
      </c>
      <c r="F78" s="69"/>
      <c r="G78" s="108" t="b">
        <v>1</v>
      </c>
      <c r="H78" s="69"/>
      <c r="I78" s="69"/>
      <c r="J78" s="69"/>
      <c r="K78" s="34" t="s">
        <v>44</v>
      </c>
      <c r="L78" s="69" t="s">
        <v>55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25.5" customHeight="1">
      <c r="A79" s="69" t="s">
        <v>63</v>
      </c>
      <c r="B79" s="69" t="s">
        <v>171</v>
      </c>
      <c r="C79" s="69">
        <v>12.0</v>
      </c>
      <c r="D79" s="69">
        <v>12.0</v>
      </c>
      <c r="E79" s="107">
        <v>46219.0</v>
      </c>
      <c r="F79" s="69"/>
      <c r="G79" s="69"/>
      <c r="H79" s="69" t="b">
        <v>1</v>
      </c>
      <c r="I79" s="69"/>
      <c r="J79" s="69"/>
      <c r="K79" s="34" t="s">
        <v>44</v>
      </c>
      <c r="L79" s="69" t="s">
        <v>65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25.5" customHeight="1">
      <c r="A80" s="69" t="s">
        <v>63</v>
      </c>
      <c r="B80" s="69" t="s">
        <v>147</v>
      </c>
      <c r="C80" s="69">
        <v>12.0</v>
      </c>
      <c r="D80" s="69">
        <v>12.0</v>
      </c>
      <c r="E80" s="107">
        <v>46218.0</v>
      </c>
      <c r="F80" s="69"/>
      <c r="G80" s="69" t="b">
        <v>1</v>
      </c>
      <c r="H80" s="69" t="b">
        <v>1</v>
      </c>
      <c r="I80" s="69"/>
      <c r="J80" s="69"/>
      <c r="K80" s="34" t="s">
        <v>44</v>
      </c>
      <c r="L80" s="69" t="s">
        <v>65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25.5" customHeight="1">
      <c r="A81" s="69" t="s">
        <v>114</v>
      </c>
      <c r="B81" s="108" t="s">
        <v>173</v>
      </c>
      <c r="C81" s="69">
        <v>6.0</v>
      </c>
      <c r="D81" s="69">
        <v>6.0</v>
      </c>
      <c r="E81" s="107">
        <v>46220.0</v>
      </c>
      <c r="F81" s="69"/>
      <c r="G81" s="69"/>
      <c r="H81" s="69"/>
      <c r="I81" s="69"/>
      <c r="J81" s="108" t="b">
        <v>1</v>
      </c>
      <c r="K81" s="34" t="s">
        <v>44</v>
      </c>
      <c r="L81" s="69" t="s">
        <v>70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21.75" customHeight="1">
      <c r="A82" s="69" t="s">
        <v>174</v>
      </c>
      <c r="B82" s="69" t="s">
        <v>175</v>
      </c>
      <c r="C82" s="69">
        <v>8.0</v>
      </c>
      <c r="D82" s="69">
        <v>8.0</v>
      </c>
      <c r="E82" s="107">
        <v>46211.0</v>
      </c>
      <c r="F82" s="69"/>
      <c r="G82" s="69"/>
      <c r="H82" s="69"/>
      <c r="I82" s="69" t="b">
        <v>1</v>
      </c>
      <c r="J82" s="69"/>
      <c r="K82" s="34" t="s">
        <v>44</v>
      </c>
      <c r="L82" s="69" t="s">
        <v>68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21.75" customHeight="1">
      <c r="A83" s="69" t="s">
        <v>174</v>
      </c>
      <c r="B83" s="69" t="s">
        <v>176</v>
      </c>
      <c r="C83" s="69">
        <v>8.0</v>
      </c>
      <c r="D83" s="69">
        <v>8.0</v>
      </c>
      <c r="E83" s="107">
        <v>46211.0</v>
      </c>
      <c r="F83" s="69"/>
      <c r="G83" s="69"/>
      <c r="H83" s="69"/>
      <c r="I83" s="69"/>
      <c r="J83" s="69" t="b">
        <v>1</v>
      </c>
      <c r="K83" s="34" t="s">
        <v>44</v>
      </c>
      <c r="L83" s="69" t="s">
        <v>70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24.0" customHeight="1">
      <c r="A84" s="69" t="s">
        <v>32</v>
      </c>
      <c r="B84" s="69" t="s">
        <v>177</v>
      </c>
      <c r="C84" s="69">
        <v>30.0</v>
      </c>
      <c r="D84" s="69">
        <v>30.0</v>
      </c>
      <c r="E84" s="107">
        <v>46214.0</v>
      </c>
      <c r="F84" s="108" t="b">
        <v>1</v>
      </c>
      <c r="G84" s="69"/>
      <c r="H84" s="3"/>
      <c r="I84" s="69"/>
      <c r="J84" s="69"/>
      <c r="K84" s="34" t="s">
        <v>44</v>
      </c>
      <c r="L84" s="69" t="s">
        <v>157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25.5" customHeight="1">
      <c r="A85" s="69" t="s">
        <v>32</v>
      </c>
      <c r="B85" s="69" t="s">
        <v>178</v>
      </c>
      <c r="C85" s="69">
        <v>16.0</v>
      </c>
      <c r="D85" s="69">
        <v>16.0</v>
      </c>
      <c r="E85" s="107">
        <v>46216.0</v>
      </c>
      <c r="F85" s="69" t="b">
        <v>1</v>
      </c>
      <c r="G85" s="69"/>
      <c r="H85" s="69"/>
      <c r="I85" s="69"/>
      <c r="J85" s="69"/>
      <c r="K85" s="34" t="s">
        <v>44</v>
      </c>
      <c r="L85" s="69" t="s">
        <v>157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21.75" customHeight="1">
      <c r="A86" s="69" t="s">
        <v>32</v>
      </c>
      <c r="B86" s="69" t="s">
        <v>179</v>
      </c>
      <c r="C86" s="69">
        <v>20.0</v>
      </c>
      <c r="D86" s="69">
        <v>20.0</v>
      </c>
      <c r="E86" s="107">
        <v>46211.0</v>
      </c>
      <c r="F86" s="69" t="b">
        <v>1</v>
      </c>
      <c r="G86" s="69"/>
      <c r="H86" s="69"/>
      <c r="I86" s="69"/>
      <c r="J86" s="69"/>
      <c r="K86" s="34" t="s">
        <v>44</v>
      </c>
      <c r="L86" s="69" t="s">
        <v>46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21.75" customHeight="1">
      <c r="A87" s="69" t="s">
        <v>32</v>
      </c>
      <c r="B87" s="69" t="s">
        <v>105</v>
      </c>
      <c r="C87" s="69">
        <v>6.0</v>
      </c>
      <c r="D87" s="69">
        <v>6.0</v>
      </c>
      <c r="E87" s="107">
        <v>46217.0</v>
      </c>
      <c r="F87" s="108" t="b">
        <v>1</v>
      </c>
      <c r="G87" s="69"/>
      <c r="H87" s="69"/>
      <c r="I87" s="69"/>
      <c r="J87" s="69"/>
      <c r="K87" s="34" t="s">
        <v>44</v>
      </c>
      <c r="L87" s="69" t="s">
        <v>57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21.75" customHeight="1">
      <c r="A88" s="102"/>
      <c r="B88" s="103" t="s">
        <v>180</v>
      </c>
      <c r="C88" s="105">
        <f>sum(C74:C87)</f>
        <v>186</v>
      </c>
      <c r="D88" s="106">
        <f>SUM(D70:D87)</f>
        <v>210</v>
      </c>
      <c r="E88" s="106"/>
      <c r="F88" s="106"/>
      <c r="G88" s="106"/>
      <c r="H88" s="106"/>
      <c r="I88" s="106"/>
      <c r="J88" s="106"/>
      <c r="K88" s="10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4.0" customHeight="1">
      <c r="A90" s="11"/>
      <c r="B90" s="65" t="s">
        <v>18</v>
      </c>
      <c r="C90" s="13"/>
      <c r="D90" s="13"/>
      <c r="E90" s="13"/>
      <c r="F90" s="13"/>
      <c r="G90" s="13"/>
      <c r="H90" s="13"/>
      <c r="I90" s="13"/>
      <c r="J90" s="13"/>
      <c r="K90" s="13"/>
      <c r="L90" s="1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36.0" customHeight="1">
      <c r="A91" s="19"/>
      <c r="B91" s="21" t="s">
        <v>14</v>
      </c>
      <c r="C91" s="21" t="s">
        <v>16</v>
      </c>
      <c r="D91" s="21" t="s">
        <v>17</v>
      </c>
      <c r="E91" s="21" t="s">
        <v>19</v>
      </c>
      <c r="F91" s="21" t="s">
        <v>21</v>
      </c>
      <c r="G91" s="21" t="s">
        <v>23</v>
      </c>
      <c r="H91" s="21" t="s">
        <v>24</v>
      </c>
      <c r="I91" s="21" t="s">
        <v>25</v>
      </c>
      <c r="J91" s="21" t="s">
        <v>26</v>
      </c>
      <c r="K91" s="21" t="s">
        <v>27</v>
      </c>
      <c r="L91" s="28" t="s">
        <v>28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4.0" customHeight="1">
      <c r="A92" s="69" t="s">
        <v>52</v>
      </c>
      <c r="B92" s="69" t="s">
        <v>161</v>
      </c>
      <c r="C92" s="69">
        <v>16.0</v>
      </c>
      <c r="D92" s="69">
        <v>16.0</v>
      </c>
      <c r="E92" s="112">
        <v>46224.0</v>
      </c>
      <c r="F92" s="69" t="b">
        <v>1</v>
      </c>
      <c r="G92" s="69" t="b">
        <v>1</v>
      </c>
      <c r="H92" s="69" t="b">
        <v>1</v>
      </c>
      <c r="I92" s="69" t="b">
        <v>1</v>
      </c>
      <c r="J92" s="69" t="b">
        <v>1</v>
      </c>
      <c r="K92" s="34" t="s">
        <v>44</v>
      </c>
      <c r="L92" s="69" t="s">
        <v>55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4.0" customHeight="1">
      <c r="A93" s="69" t="s">
        <v>32</v>
      </c>
      <c r="B93" s="69" t="s">
        <v>182</v>
      </c>
      <c r="C93" s="69">
        <v>24.0</v>
      </c>
      <c r="D93" s="69">
        <v>24.0</v>
      </c>
      <c r="E93" s="112">
        <v>46230.0</v>
      </c>
      <c r="F93" s="69" t="b">
        <v>1</v>
      </c>
      <c r="G93" s="69"/>
      <c r="H93" s="69"/>
      <c r="I93" s="69"/>
      <c r="J93" s="69"/>
      <c r="K93" s="34" t="s">
        <v>44</v>
      </c>
      <c r="L93" s="69" t="s">
        <v>157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24.0" customHeight="1">
      <c r="A94" s="69" t="s">
        <v>32</v>
      </c>
      <c r="B94" s="69" t="s">
        <v>107</v>
      </c>
      <c r="C94" s="69">
        <v>16.0</v>
      </c>
      <c r="D94" s="69">
        <v>16.0</v>
      </c>
      <c r="E94" s="112">
        <v>46229.0</v>
      </c>
      <c r="F94" s="69" t="b">
        <v>1</v>
      </c>
      <c r="G94" s="69"/>
      <c r="H94" s="69" t="b">
        <v>1</v>
      </c>
      <c r="I94" s="69" t="b">
        <v>1</v>
      </c>
      <c r="J94" s="69" t="b">
        <v>1</v>
      </c>
      <c r="K94" s="34" t="s">
        <v>44</v>
      </c>
      <c r="L94" s="69" t="s">
        <v>57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4.0" customHeight="1">
      <c r="A95" s="69" t="s">
        <v>32</v>
      </c>
      <c r="B95" s="69" t="s">
        <v>109</v>
      </c>
      <c r="C95" s="69">
        <v>60.0</v>
      </c>
      <c r="D95" s="69">
        <v>60.0</v>
      </c>
      <c r="E95" s="112">
        <v>46234.0</v>
      </c>
      <c r="F95" s="69" t="b">
        <v>1</v>
      </c>
      <c r="G95" s="69" t="b">
        <v>1</v>
      </c>
      <c r="H95" s="69" t="b">
        <v>1</v>
      </c>
      <c r="I95" s="69" t="b">
        <v>1</v>
      </c>
      <c r="J95" s="69" t="b">
        <v>1</v>
      </c>
      <c r="K95" s="34" t="s">
        <v>44</v>
      </c>
      <c r="L95" s="69" t="s">
        <v>57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4.0" customHeight="1">
      <c r="A96" s="69" t="s">
        <v>32</v>
      </c>
      <c r="B96" s="69" t="s">
        <v>111</v>
      </c>
      <c r="C96" s="69">
        <v>12.0</v>
      </c>
      <c r="D96" s="69">
        <v>12.0</v>
      </c>
      <c r="E96" s="112">
        <v>46231.0</v>
      </c>
      <c r="F96" s="69" t="b">
        <v>1</v>
      </c>
      <c r="G96" s="69" t="b">
        <v>1</v>
      </c>
      <c r="H96" s="69" t="b">
        <v>1</v>
      </c>
      <c r="I96" s="69" t="b">
        <v>1</v>
      </c>
      <c r="J96" s="69" t="b">
        <v>1</v>
      </c>
      <c r="K96" s="34" t="s">
        <v>44</v>
      </c>
      <c r="L96" s="69" t="s">
        <v>57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4.0" customHeight="1">
      <c r="A97" s="69" t="s">
        <v>52</v>
      </c>
      <c r="B97" s="69" t="s">
        <v>165</v>
      </c>
      <c r="C97" s="69">
        <v>12.0</v>
      </c>
      <c r="D97" s="69">
        <v>12.0</v>
      </c>
      <c r="E97" s="112">
        <v>46230.0</v>
      </c>
      <c r="F97" s="69"/>
      <c r="G97" s="3"/>
      <c r="H97" s="69" t="b">
        <v>1</v>
      </c>
      <c r="I97" s="69"/>
      <c r="J97" s="69"/>
      <c r="K97" s="34" t="s">
        <v>44</v>
      </c>
      <c r="L97" s="69" t="s">
        <v>61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1.75" customHeight="1">
      <c r="A98" s="69" t="s">
        <v>32</v>
      </c>
      <c r="B98" s="69" t="s">
        <v>113</v>
      </c>
      <c r="C98" s="69">
        <v>6.0</v>
      </c>
      <c r="D98" s="69">
        <v>6.0</v>
      </c>
      <c r="E98" s="112">
        <v>46234.0</v>
      </c>
      <c r="F98" s="69" t="b">
        <v>1</v>
      </c>
      <c r="G98" s="69"/>
      <c r="H98" s="69"/>
      <c r="I98" s="69"/>
      <c r="J98" s="69"/>
      <c r="K98" s="34" t="s">
        <v>44</v>
      </c>
      <c r="L98" s="69" t="s">
        <v>57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1.75" customHeight="1">
      <c r="A99" s="102"/>
      <c r="B99" s="103" t="s">
        <v>184</v>
      </c>
      <c r="C99" s="105">
        <f>sum(C92:C98)</f>
        <v>146</v>
      </c>
      <c r="D99" s="116">
        <v>146.0</v>
      </c>
      <c r="E99" s="106"/>
      <c r="F99" s="106"/>
      <c r="G99" s="106"/>
      <c r="H99" s="106"/>
      <c r="I99" s="106"/>
      <c r="J99" s="106"/>
      <c r="K99" s="10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6">
    <mergeCell ref="B1:K1"/>
    <mergeCell ref="B3:L3"/>
    <mergeCell ref="B21:L21"/>
    <mergeCell ref="B42:L42"/>
    <mergeCell ref="B69:L69"/>
    <mergeCell ref="B90:L90"/>
  </mergeCells>
  <dataValidations>
    <dataValidation type="list" allowBlank="1" showErrorMessage="1" sqref="K5:K20 K22:K41 K43:K67 K71:K87 K92:K98">
      <formula1>"Completed,In Progress,Not Started,Status"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66" t="s">
        <v>81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7" t="s">
        <v>82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7" t="s">
        <v>85</v>
      </c>
      <c r="B6" s="77" t="s">
        <v>86</v>
      </c>
      <c r="C6" s="77" t="s">
        <v>87</v>
      </c>
      <c r="D6" s="77" t="s">
        <v>89</v>
      </c>
      <c r="E6" s="77" t="s">
        <v>90</v>
      </c>
      <c r="F6" s="77" t="s">
        <v>92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9">
        <v>0.0</v>
      </c>
      <c r="B7" s="80">
        <v>46166.0</v>
      </c>
      <c r="C7" s="81">
        <f>B20</f>
        <v>40</v>
      </c>
      <c r="D7" s="79">
        <v>0.0</v>
      </c>
      <c r="E7" s="83">
        <v>0.0</v>
      </c>
      <c r="F7" s="83">
        <f>B20</f>
        <v>40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4">
        <v>1.0</v>
      </c>
      <c r="B8" s="85">
        <v>46167.0</v>
      </c>
      <c r="C8" s="86">
        <f t="shared" ref="C8:C17" si="1">$B$20-($B$20/10*A8)</f>
        <v>36</v>
      </c>
      <c r="D8" s="87">
        <v>8.0</v>
      </c>
      <c r="E8" s="86">
        <f t="shared" ref="E8:E17" si="2">E7+D8</f>
        <v>8</v>
      </c>
      <c r="F8" s="88">
        <f t="shared" ref="F8:F17" si="3">$F$7-E8</f>
        <v>32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0">
        <v>2.0</v>
      </c>
      <c r="B9" s="91">
        <v>46168.0</v>
      </c>
      <c r="C9" s="86">
        <f t="shared" si="1"/>
        <v>32</v>
      </c>
      <c r="D9" s="92">
        <v>3.0</v>
      </c>
      <c r="E9" s="93">
        <f t="shared" si="2"/>
        <v>11</v>
      </c>
      <c r="F9" s="88">
        <f t="shared" si="3"/>
        <v>29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4">
        <v>3.0</v>
      </c>
      <c r="B10" s="85">
        <v>46169.0</v>
      </c>
      <c r="C10" s="86">
        <f t="shared" si="1"/>
        <v>28</v>
      </c>
      <c r="D10" s="87">
        <v>0.0</v>
      </c>
      <c r="E10" s="86">
        <f t="shared" si="2"/>
        <v>11</v>
      </c>
      <c r="F10" s="88">
        <f t="shared" si="3"/>
        <v>29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0">
        <v>4.0</v>
      </c>
      <c r="B11" s="91">
        <v>46170.0</v>
      </c>
      <c r="C11" s="86">
        <f t="shared" si="1"/>
        <v>24</v>
      </c>
      <c r="D11" s="92">
        <v>3.0</v>
      </c>
      <c r="E11" s="93">
        <f t="shared" si="2"/>
        <v>14</v>
      </c>
      <c r="F11" s="88">
        <f t="shared" si="3"/>
        <v>26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4">
        <v>5.0</v>
      </c>
      <c r="B12" s="85">
        <v>46171.0</v>
      </c>
      <c r="C12" s="86">
        <f t="shared" si="1"/>
        <v>20</v>
      </c>
      <c r="D12" s="87">
        <v>4.0</v>
      </c>
      <c r="E12" s="86">
        <f t="shared" si="2"/>
        <v>18</v>
      </c>
      <c r="F12" s="88">
        <f t="shared" si="3"/>
        <v>22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0">
        <v>6.0</v>
      </c>
      <c r="B13" s="91">
        <v>46174.0</v>
      </c>
      <c r="C13" s="86">
        <f t="shared" si="1"/>
        <v>16</v>
      </c>
      <c r="D13" s="92">
        <v>0.0</v>
      </c>
      <c r="E13" s="93">
        <f t="shared" si="2"/>
        <v>18</v>
      </c>
      <c r="F13" s="88">
        <f t="shared" si="3"/>
        <v>22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4">
        <v>7.0</v>
      </c>
      <c r="B14" s="85">
        <v>46175.0</v>
      </c>
      <c r="C14" s="86">
        <f t="shared" si="1"/>
        <v>12</v>
      </c>
      <c r="D14" s="87">
        <v>5.0</v>
      </c>
      <c r="E14" s="86">
        <f t="shared" si="2"/>
        <v>23</v>
      </c>
      <c r="F14" s="88">
        <f t="shared" si="3"/>
        <v>17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0">
        <v>8.0</v>
      </c>
      <c r="B15" s="91">
        <v>46176.0</v>
      </c>
      <c r="C15" s="86">
        <f t="shared" si="1"/>
        <v>8</v>
      </c>
      <c r="D15" s="92">
        <v>6.0</v>
      </c>
      <c r="E15" s="93">
        <f t="shared" si="2"/>
        <v>29</v>
      </c>
      <c r="F15" s="88">
        <f t="shared" si="3"/>
        <v>11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4">
        <v>9.0</v>
      </c>
      <c r="B16" s="85">
        <v>46177.0</v>
      </c>
      <c r="C16" s="86">
        <f t="shared" si="1"/>
        <v>4</v>
      </c>
      <c r="D16" s="87">
        <v>2.0</v>
      </c>
      <c r="E16" s="86">
        <f t="shared" si="2"/>
        <v>31</v>
      </c>
      <c r="F16" s="88">
        <f t="shared" si="3"/>
        <v>9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0">
        <v>10.0</v>
      </c>
      <c r="B17" s="91">
        <v>46178.0</v>
      </c>
      <c r="C17" s="86">
        <f t="shared" si="1"/>
        <v>0</v>
      </c>
      <c r="D17" s="92">
        <v>9.0</v>
      </c>
      <c r="E17" s="93">
        <f t="shared" si="2"/>
        <v>40</v>
      </c>
      <c r="F17" s="88">
        <f t="shared" si="3"/>
        <v>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5" t="s">
        <v>116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6" t="s">
        <v>118</v>
      </c>
      <c r="B20" s="97">
        <v>40.0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6" t="s">
        <v>120</v>
      </c>
      <c r="B21" s="98">
        <f>E17</f>
        <v>40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6" t="s">
        <v>122</v>
      </c>
      <c r="B22" s="98">
        <f>C7-E17</f>
        <v>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6" t="s">
        <v>126</v>
      </c>
      <c r="B23" s="104">
        <f>E17/C7</f>
        <v>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6" t="s">
        <v>155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7" t="s">
        <v>158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77" t="s">
        <v>85</v>
      </c>
      <c r="B58" s="77" t="s">
        <v>86</v>
      </c>
      <c r="C58" s="77" t="s">
        <v>87</v>
      </c>
      <c r="D58" s="77" t="s">
        <v>89</v>
      </c>
      <c r="E58" s="77" t="s">
        <v>90</v>
      </c>
      <c r="F58" s="77" t="s">
        <v>92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79">
        <v>0.0</v>
      </c>
      <c r="B59" s="80">
        <v>46180.0</v>
      </c>
      <c r="C59" s="81">
        <f>B72</f>
        <v>44</v>
      </c>
      <c r="D59" s="81">
        <v>0.0</v>
      </c>
      <c r="E59" s="81">
        <v>0.0</v>
      </c>
      <c r="F59" s="81">
        <f>B72</f>
        <v>44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84">
        <v>1.0</v>
      </c>
      <c r="B60" s="85">
        <v>46181.0</v>
      </c>
      <c r="C60" s="86">
        <f>$B$72-($B$72/10*A60)</f>
        <v>39.6</v>
      </c>
      <c r="D60" s="87"/>
      <c r="E60" s="86">
        <f t="shared" ref="E60:E69" si="4">E59+D60</f>
        <v>0</v>
      </c>
      <c r="F60" s="88">
        <f t="shared" ref="F60:F69" si="5">$F$59-E60</f>
        <v>44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0">
        <v>2.0</v>
      </c>
      <c r="B61" s="85">
        <v>46182.0</v>
      </c>
      <c r="C61" s="86">
        <f t="shared" ref="C61:C69" si="6">$B$20-($B$20/10*A61)</f>
        <v>32</v>
      </c>
      <c r="D61" s="92"/>
      <c r="E61" s="93">
        <f t="shared" si="4"/>
        <v>0</v>
      </c>
      <c r="F61" s="88">
        <f t="shared" si="5"/>
        <v>44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84">
        <v>3.0</v>
      </c>
      <c r="B62" s="85">
        <v>46183.0</v>
      </c>
      <c r="C62" s="86">
        <f t="shared" si="6"/>
        <v>28</v>
      </c>
      <c r="D62" s="87"/>
      <c r="E62" s="86">
        <f t="shared" si="4"/>
        <v>0</v>
      </c>
      <c r="F62" s="88">
        <f t="shared" si="5"/>
        <v>44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0">
        <v>4.0</v>
      </c>
      <c r="B63" s="85">
        <v>46184.0</v>
      </c>
      <c r="C63" s="86">
        <f t="shared" si="6"/>
        <v>24</v>
      </c>
      <c r="D63" s="92"/>
      <c r="E63" s="93">
        <f t="shared" si="4"/>
        <v>0</v>
      </c>
      <c r="F63" s="88">
        <f t="shared" si="5"/>
        <v>44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84">
        <v>5.0</v>
      </c>
      <c r="B64" s="85">
        <v>46185.0</v>
      </c>
      <c r="C64" s="86">
        <f t="shared" si="6"/>
        <v>20</v>
      </c>
      <c r="D64" s="87">
        <v>3.0</v>
      </c>
      <c r="E64" s="86">
        <f t="shared" si="4"/>
        <v>3</v>
      </c>
      <c r="F64" s="88">
        <f t="shared" si="5"/>
        <v>41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0">
        <v>6.0</v>
      </c>
      <c r="B65" s="85">
        <v>46188.0</v>
      </c>
      <c r="C65" s="86">
        <f t="shared" si="6"/>
        <v>16</v>
      </c>
      <c r="D65" s="92"/>
      <c r="E65" s="93">
        <f t="shared" si="4"/>
        <v>3</v>
      </c>
      <c r="F65" s="88">
        <f t="shared" si="5"/>
        <v>41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>
        <v>7.0</v>
      </c>
      <c r="B66" s="85">
        <v>46189.0</v>
      </c>
      <c r="C66" s="86">
        <f t="shared" si="6"/>
        <v>12</v>
      </c>
      <c r="D66" s="87">
        <v>12.0</v>
      </c>
      <c r="E66" s="86">
        <f t="shared" si="4"/>
        <v>15</v>
      </c>
      <c r="F66" s="88">
        <f t="shared" si="5"/>
        <v>29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0">
        <v>8.0</v>
      </c>
      <c r="B67" s="85">
        <v>46190.0</v>
      </c>
      <c r="C67" s="86">
        <f t="shared" si="6"/>
        <v>8</v>
      </c>
      <c r="D67" s="92">
        <v>9.0</v>
      </c>
      <c r="E67" s="93">
        <f t="shared" si="4"/>
        <v>24</v>
      </c>
      <c r="F67" s="88">
        <f t="shared" si="5"/>
        <v>20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84">
        <v>9.0</v>
      </c>
      <c r="B68" s="85">
        <v>46191.0</v>
      </c>
      <c r="C68" s="86">
        <f t="shared" si="6"/>
        <v>4</v>
      </c>
      <c r="D68" s="87">
        <v>5.0</v>
      </c>
      <c r="E68" s="86">
        <f t="shared" si="4"/>
        <v>29</v>
      </c>
      <c r="F68" s="88">
        <f t="shared" si="5"/>
        <v>15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0">
        <v>10.0</v>
      </c>
      <c r="B69" s="85">
        <v>46192.0</v>
      </c>
      <c r="C69" s="86">
        <f t="shared" si="6"/>
        <v>0</v>
      </c>
      <c r="D69" s="92">
        <v>4.0</v>
      </c>
      <c r="E69" s="93">
        <f t="shared" si="4"/>
        <v>33</v>
      </c>
      <c r="F69" s="88">
        <f t="shared" si="5"/>
        <v>11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5" t="s">
        <v>116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6" t="s">
        <v>118</v>
      </c>
      <c r="B72" s="97">
        <v>44.0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6" t="s">
        <v>120</v>
      </c>
      <c r="B73" s="98">
        <f>E69</f>
        <v>33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6" t="s">
        <v>122</v>
      </c>
      <c r="B74" s="98">
        <f>B72-E69</f>
        <v>11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6" t="s">
        <v>126</v>
      </c>
      <c r="B75" s="104">
        <f>E69/C59</f>
        <v>0.75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6" t="s">
        <v>185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7" t="s">
        <v>187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77" t="s">
        <v>85</v>
      </c>
      <c r="B111" s="77" t="s">
        <v>86</v>
      </c>
      <c r="C111" s="77" t="s">
        <v>87</v>
      </c>
      <c r="D111" s="77" t="s">
        <v>89</v>
      </c>
      <c r="E111" s="77" t="s">
        <v>90</v>
      </c>
      <c r="F111" s="77" t="s">
        <v>92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79">
        <v>0.0</v>
      </c>
      <c r="B112" s="80">
        <v>46194.0</v>
      </c>
      <c r="C112" s="81">
        <f>B125</f>
        <v>57</v>
      </c>
      <c r="D112" s="81">
        <v>0.0</v>
      </c>
      <c r="E112" s="81">
        <v>0.0</v>
      </c>
      <c r="F112" s="81">
        <f>B125</f>
        <v>57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84">
        <v>1.0</v>
      </c>
      <c r="B113" s="85">
        <v>46195.0</v>
      </c>
      <c r="C113" s="86">
        <f t="shared" ref="C113:C122" si="7">$B$125-($B$125/10*A113)</f>
        <v>51.3</v>
      </c>
      <c r="D113" s="87"/>
      <c r="E113" s="86">
        <f t="shared" ref="E113:E122" si="8">E112+D113</f>
        <v>0</v>
      </c>
      <c r="F113" s="88">
        <f t="shared" ref="F113:F122" si="9">$F$112-E113</f>
        <v>57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0">
        <v>2.0</v>
      </c>
      <c r="B114" s="85">
        <v>46196.0</v>
      </c>
      <c r="C114" s="86">
        <f t="shared" si="7"/>
        <v>45.6</v>
      </c>
      <c r="D114" s="92"/>
      <c r="E114" s="93">
        <f t="shared" si="8"/>
        <v>0</v>
      </c>
      <c r="F114" s="88">
        <f t="shared" si="9"/>
        <v>57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84">
        <v>3.0</v>
      </c>
      <c r="B115" s="85">
        <v>46197.0</v>
      </c>
      <c r="C115" s="86">
        <f t="shared" si="7"/>
        <v>39.9</v>
      </c>
      <c r="D115" s="87"/>
      <c r="E115" s="86">
        <f t="shared" si="8"/>
        <v>0</v>
      </c>
      <c r="F115" s="88">
        <f t="shared" si="9"/>
        <v>57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0">
        <v>4.0</v>
      </c>
      <c r="B116" s="85">
        <v>46198.0</v>
      </c>
      <c r="C116" s="86">
        <f t="shared" si="7"/>
        <v>34.2</v>
      </c>
      <c r="D116" s="92">
        <v>8.0</v>
      </c>
      <c r="E116" s="93">
        <f t="shared" si="8"/>
        <v>8</v>
      </c>
      <c r="F116" s="88">
        <f t="shared" si="9"/>
        <v>49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84">
        <v>5.0</v>
      </c>
      <c r="B117" s="85">
        <v>46199.0</v>
      </c>
      <c r="C117" s="86">
        <f t="shared" si="7"/>
        <v>28.5</v>
      </c>
      <c r="D117" s="87">
        <v>2.0</v>
      </c>
      <c r="E117" s="86">
        <f t="shared" si="8"/>
        <v>10</v>
      </c>
      <c r="F117" s="88">
        <f t="shared" si="9"/>
        <v>47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0">
        <v>6.0</v>
      </c>
      <c r="B118" s="85">
        <v>46202.0</v>
      </c>
      <c r="C118" s="86">
        <f t="shared" si="7"/>
        <v>22.8</v>
      </c>
      <c r="D118" s="92"/>
      <c r="E118" s="93">
        <f t="shared" si="8"/>
        <v>10</v>
      </c>
      <c r="F118" s="88">
        <f t="shared" si="9"/>
        <v>47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84">
        <v>7.0</v>
      </c>
      <c r="B119" s="85">
        <v>46203.0</v>
      </c>
      <c r="C119" s="86">
        <f t="shared" si="7"/>
        <v>17.1</v>
      </c>
      <c r="D119" s="87">
        <v>2.0</v>
      </c>
      <c r="E119" s="86">
        <f t="shared" si="8"/>
        <v>12</v>
      </c>
      <c r="F119" s="88">
        <f t="shared" si="9"/>
        <v>45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0">
        <v>8.0</v>
      </c>
      <c r="B120" s="85">
        <v>46204.0</v>
      </c>
      <c r="C120" s="86">
        <f t="shared" si="7"/>
        <v>11.4</v>
      </c>
      <c r="D120" s="92">
        <v>17.0</v>
      </c>
      <c r="E120" s="93">
        <f t="shared" si="8"/>
        <v>29</v>
      </c>
      <c r="F120" s="88">
        <f t="shared" si="9"/>
        <v>28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84">
        <v>9.0</v>
      </c>
      <c r="B121" s="85">
        <v>46205.0</v>
      </c>
      <c r="C121" s="86">
        <f t="shared" si="7"/>
        <v>5.7</v>
      </c>
      <c r="D121" s="87"/>
      <c r="E121" s="86">
        <f t="shared" si="8"/>
        <v>29</v>
      </c>
      <c r="F121" s="88">
        <f t="shared" si="9"/>
        <v>28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0">
        <v>10.0</v>
      </c>
      <c r="B122" s="85">
        <v>46206.0</v>
      </c>
      <c r="C122" s="86">
        <f t="shared" si="7"/>
        <v>0</v>
      </c>
      <c r="D122" s="92">
        <v>10.0</v>
      </c>
      <c r="E122" s="93">
        <f t="shared" si="8"/>
        <v>39</v>
      </c>
      <c r="F122" s="88">
        <f t="shared" si="9"/>
        <v>18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5" t="s">
        <v>116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6" t="s">
        <v>118</v>
      </c>
      <c r="B125" s="97">
        <v>57.0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6" t="s">
        <v>120</v>
      </c>
      <c r="B126" s="98">
        <f>E122</f>
        <v>39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6" t="s">
        <v>122</v>
      </c>
      <c r="B127" s="98">
        <f>B125-E122</f>
        <v>18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6" t="s">
        <v>126</v>
      </c>
      <c r="B128" s="104">
        <f>E122/B125</f>
        <v>0.6842105263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66" t="s">
        <v>198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67" t="s">
        <v>199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77" t="s">
        <v>85</v>
      </c>
      <c r="B164" s="77" t="s">
        <v>86</v>
      </c>
      <c r="C164" s="77" t="s">
        <v>87</v>
      </c>
      <c r="D164" s="77" t="s">
        <v>89</v>
      </c>
      <c r="E164" s="77" t="s">
        <v>90</v>
      </c>
      <c r="F164" s="77" t="s">
        <v>92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79">
        <v>0.0</v>
      </c>
      <c r="B165" s="80">
        <v>46208.0</v>
      </c>
      <c r="C165" s="81">
        <f>B178</f>
        <v>43</v>
      </c>
      <c r="D165" s="81">
        <v>0.0</v>
      </c>
      <c r="E165" s="81">
        <v>0.0</v>
      </c>
      <c r="F165" s="81">
        <f>B178</f>
        <v>43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84">
        <v>1.0</v>
      </c>
      <c r="B166" s="85">
        <v>46209.0</v>
      </c>
      <c r="C166" s="86">
        <f t="shared" ref="C166:C175" si="10">$B$178-($B$178/10*A166)</f>
        <v>38.7</v>
      </c>
      <c r="D166" s="123">
        <v>0.0</v>
      </c>
      <c r="E166" s="86">
        <f t="shared" ref="E166:E175" si="11">E165+D166</f>
        <v>0</v>
      </c>
      <c r="F166" s="88">
        <f t="shared" ref="F166:F175" si="12">$F$165-E166</f>
        <v>43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0">
        <v>2.0</v>
      </c>
      <c r="B167" s="85">
        <v>46210.0</v>
      </c>
      <c r="C167" s="86">
        <f t="shared" si="10"/>
        <v>34.4</v>
      </c>
      <c r="D167" s="125">
        <v>0.0</v>
      </c>
      <c r="E167" s="93">
        <f t="shared" si="11"/>
        <v>0</v>
      </c>
      <c r="F167" s="88">
        <f t="shared" si="12"/>
        <v>43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84">
        <v>3.0</v>
      </c>
      <c r="B168" s="85">
        <v>46211.0</v>
      </c>
      <c r="C168" s="86">
        <f t="shared" si="10"/>
        <v>30.1</v>
      </c>
      <c r="D168" s="123">
        <v>5.0</v>
      </c>
      <c r="E168" s="86">
        <f t="shared" si="11"/>
        <v>5</v>
      </c>
      <c r="F168" s="88">
        <f t="shared" si="12"/>
        <v>38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0">
        <v>4.0</v>
      </c>
      <c r="B169" s="85">
        <v>46212.0</v>
      </c>
      <c r="C169" s="86">
        <f t="shared" si="10"/>
        <v>25.8</v>
      </c>
      <c r="D169" s="92">
        <v>4.0</v>
      </c>
      <c r="E169" s="93">
        <f t="shared" si="11"/>
        <v>9</v>
      </c>
      <c r="F169" s="88">
        <f t="shared" si="12"/>
        <v>34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84">
        <v>5.0</v>
      </c>
      <c r="B170" s="85">
        <v>46213.0</v>
      </c>
      <c r="C170" s="86">
        <f t="shared" si="10"/>
        <v>21.5</v>
      </c>
      <c r="D170" s="123">
        <v>4.0</v>
      </c>
      <c r="E170" s="86">
        <f t="shared" si="11"/>
        <v>13</v>
      </c>
      <c r="F170" s="88">
        <f t="shared" si="12"/>
        <v>30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0">
        <v>6.0</v>
      </c>
      <c r="B171" s="85">
        <v>46216.0</v>
      </c>
      <c r="C171" s="86">
        <f t="shared" si="10"/>
        <v>17.2</v>
      </c>
      <c r="D171" s="125">
        <v>8.0</v>
      </c>
      <c r="E171" s="93">
        <f t="shared" si="11"/>
        <v>21</v>
      </c>
      <c r="F171" s="88">
        <f t="shared" si="12"/>
        <v>22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84">
        <v>7.0</v>
      </c>
      <c r="B172" s="85">
        <v>46217.0</v>
      </c>
      <c r="C172" s="86">
        <f t="shared" si="10"/>
        <v>12.9</v>
      </c>
      <c r="D172" s="123">
        <v>6.0</v>
      </c>
      <c r="E172" s="86">
        <f t="shared" si="11"/>
        <v>27</v>
      </c>
      <c r="F172" s="88">
        <f t="shared" si="12"/>
        <v>16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0">
        <v>8.0</v>
      </c>
      <c r="B173" s="85">
        <v>46218.0</v>
      </c>
      <c r="C173" s="86">
        <f t="shared" si="10"/>
        <v>8.6</v>
      </c>
      <c r="D173" s="125">
        <v>6.0</v>
      </c>
      <c r="E173" s="93">
        <f t="shared" si="11"/>
        <v>33</v>
      </c>
      <c r="F173" s="88">
        <f t="shared" si="12"/>
        <v>10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84">
        <v>9.0</v>
      </c>
      <c r="B174" s="85">
        <v>46219.0</v>
      </c>
      <c r="C174" s="86">
        <f t="shared" si="10"/>
        <v>4.3</v>
      </c>
      <c r="D174" s="87">
        <v>4.0</v>
      </c>
      <c r="E174" s="86">
        <f t="shared" si="11"/>
        <v>37</v>
      </c>
      <c r="F174" s="88">
        <f t="shared" si="12"/>
        <v>6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0">
        <v>10.0</v>
      </c>
      <c r="B175" s="85">
        <v>46220.0</v>
      </c>
      <c r="C175" s="86">
        <f t="shared" si="10"/>
        <v>0</v>
      </c>
      <c r="D175" s="125">
        <v>6.0</v>
      </c>
      <c r="E175" s="93">
        <f t="shared" si="11"/>
        <v>43</v>
      </c>
      <c r="F175" s="88">
        <f t="shared" si="12"/>
        <v>0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5" t="s">
        <v>116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6" t="s">
        <v>118</v>
      </c>
      <c r="B178" s="97">
        <v>43.0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6" t="s">
        <v>120</v>
      </c>
      <c r="B179" s="98">
        <f>E175</f>
        <v>43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6" t="s">
        <v>122</v>
      </c>
      <c r="B180" s="98">
        <f>B178-E175</f>
        <v>0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6" t="s">
        <v>126</v>
      </c>
      <c r="B181" s="104">
        <f>E175/B178</f>
        <v>1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66" t="s">
        <v>217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67" t="s">
        <v>218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77" t="s">
        <v>85</v>
      </c>
      <c r="B217" s="77" t="s">
        <v>86</v>
      </c>
      <c r="C217" s="77" t="s">
        <v>87</v>
      </c>
      <c r="D217" s="77" t="s">
        <v>89</v>
      </c>
      <c r="E217" s="77" t="s">
        <v>90</v>
      </c>
      <c r="F217" s="77" t="s">
        <v>92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79">
        <v>0.0</v>
      </c>
      <c r="B218" s="80">
        <v>46222.0</v>
      </c>
      <c r="C218" s="81">
        <f>B231</f>
        <v>19</v>
      </c>
      <c r="D218" s="81">
        <v>0.0</v>
      </c>
      <c r="E218" s="81">
        <v>0.0</v>
      </c>
      <c r="F218" s="81">
        <f>B231</f>
        <v>19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84">
        <v>1.0</v>
      </c>
      <c r="B219" s="85">
        <v>46223.0</v>
      </c>
      <c r="C219" s="86">
        <f t="shared" ref="C219:C228" si="13">$B$231-($B$231/10*A219)</f>
        <v>17.1</v>
      </c>
      <c r="D219" s="123">
        <v>0.0</v>
      </c>
      <c r="E219" s="86">
        <f t="shared" ref="E219:E228" si="14">E218+D219</f>
        <v>0</v>
      </c>
      <c r="F219" s="88">
        <f t="shared" ref="F219:F228" si="15">$F$218-E219</f>
        <v>19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0">
        <v>2.0</v>
      </c>
      <c r="B220" s="85">
        <v>46224.0</v>
      </c>
      <c r="C220" s="86">
        <f t="shared" si="13"/>
        <v>15.2</v>
      </c>
      <c r="D220" s="125">
        <v>3.0</v>
      </c>
      <c r="E220" s="93">
        <f t="shared" si="14"/>
        <v>3</v>
      </c>
      <c r="F220" s="88">
        <f t="shared" si="15"/>
        <v>16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84">
        <v>3.0</v>
      </c>
      <c r="B221" s="85">
        <v>46225.0</v>
      </c>
      <c r="C221" s="86">
        <f t="shared" si="13"/>
        <v>13.3</v>
      </c>
      <c r="D221" s="123">
        <v>4.0</v>
      </c>
      <c r="E221" s="86">
        <f t="shared" si="14"/>
        <v>7</v>
      </c>
      <c r="F221" s="88">
        <f t="shared" si="15"/>
        <v>12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0">
        <v>4.0</v>
      </c>
      <c r="B222" s="85">
        <v>46226.0</v>
      </c>
      <c r="C222" s="86">
        <f t="shared" si="13"/>
        <v>11.4</v>
      </c>
      <c r="D222" s="92">
        <v>2.0</v>
      </c>
      <c r="E222" s="93">
        <f t="shared" si="14"/>
        <v>9</v>
      </c>
      <c r="F222" s="88">
        <f t="shared" si="15"/>
        <v>10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84">
        <v>5.0</v>
      </c>
      <c r="B223" s="85">
        <v>46227.0</v>
      </c>
      <c r="C223" s="86">
        <f t="shared" si="13"/>
        <v>9.5</v>
      </c>
      <c r="D223" s="87">
        <v>2.0</v>
      </c>
      <c r="E223" s="86">
        <f t="shared" si="14"/>
        <v>11</v>
      </c>
      <c r="F223" s="88">
        <f t="shared" si="15"/>
        <v>8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0">
        <v>6.0</v>
      </c>
      <c r="B224" s="85">
        <v>46230.0</v>
      </c>
      <c r="C224" s="86">
        <f t="shared" si="13"/>
        <v>7.6</v>
      </c>
      <c r="D224" s="92">
        <v>2.0</v>
      </c>
      <c r="E224" s="93">
        <f t="shared" si="14"/>
        <v>13</v>
      </c>
      <c r="F224" s="88">
        <f t="shared" si="15"/>
        <v>6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84">
        <v>7.0</v>
      </c>
      <c r="B225" s="85">
        <v>46231.0</v>
      </c>
      <c r="C225" s="86">
        <f t="shared" si="13"/>
        <v>5.7</v>
      </c>
      <c r="D225" s="87">
        <v>2.0</v>
      </c>
      <c r="E225" s="86">
        <f t="shared" si="14"/>
        <v>15</v>
      </c>
      <c r="F225" s="88">
        <f t="shared" si="15"/>
        <v>4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0">
        <v>8.0</v>
      </c>
      <c r="B226" s="85">
        <v>46232.0</v>
      </c>
      <c r="C226" s="86">
        <f t="shared" si="13"/>
        <v>3.8</v>
      </c>
      <c r="D226" s="92">
        <v>2.0</v>
      </c>
      <c r="E226" s="93">
        <f t="shared" si="14"/>
        <v>17</v>
      </c>
      <c r="F226" s="88">
        <f t="shared" si="15"/>
        <v>2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84">
        <v>9.0</v>
      </c>
      <c r="B227" s="85">
        <v>46233.0</v>
      </c>
      <c r="C227" s="86">
        <f t="shared" si="13"/>
        <v>1.9</v>
      </c>
      <c r="D227" s="123">
        <v>1.0</v>
      </c>
      <c r="E227" s="86">
        <f t="shared" si="14"/>
        <v>18</v>
      </c>
      <c r="F227" s="88">
        <f t="shared" si="15"/>
        <v>1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0">
        <v>10.0</v>
      </c>
      <c r="B228" s="85">
        <v>46234.0</v>
      </c>
      <c r="C228" s="86">
        <f t="shared" si="13"/>
        <v>0</v>
      </c>
      <c r="D228" s="92">
        <v>1.0</v>
      </c>
      <c r="E228" s="93">
        <f t="shared" si="14"/>
        <v>19</v>
      </c>
      <c r="F228" s="88">
        <f t="shared" si="15"/>
        <v>0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5" t="s">
        <v>116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6" t="s">
        <v>118</v>
      </c>
      <c r="B231" s="97">
        <v>19.0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6" t="s">
        <v>120</v>
      </c>
      <c r="B232" s="98">
        <f>E228</f>
        <v>19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6" t="s">
        <v>122</v>
      </c>
      <c r="B233" s="98">
        <f>B231-E228</f>
        <v>0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6" t="s">
        <v>126</v>
      </c>
      <c r="B234" s="104">
        <f>E228/B231</f>
        <v>1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07:F107"/>
    <mergeCell ref="A124:F124"/>
    <mergeCell ref="A1:F1"/>
    <mergeCell ref="A2:F2"/>
    <mergeCell ref="A19:F19"/>
    <mergeCell ref="A53:F53"/>
    <mergeCell ref="A54:F54"/>
    <mergeCell ref="A71:F71"/>
    <mergeCell ref="A106:F10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43"/>
    <col customWidth="1" min="2" max="2" width="38.0"/>
    <col customWidth="1" min="3" max="4" width="14.43"/>
    <col customWidth="1" min="5" max="5" width="23.14"/>
    <col customWidth="1" min="6" max="6" width="7.0"/>
    <col customWidth="1" min="7" max="7" width="7.57"/>
    <col customWidth="1" min="8" max="8" width="5.14"/>
    <col customWidth="1" min="9" max="9" width="7.57"/>
    <col customWidth="1" min="10" max="10" width="6.0"/>
    <col customWidth="1" min="11" max="11" width="7.57"/>
    <col customWidth="1" min="12" max="12" width="6.0"/>
    <col customWidth="1" min="13" max="13" width="7.57"/>
    <col customWidth="1" min="14" max="14" width="5.43"/>
    <col customWidth="1" min="15" max="15" width="7.57"/>
    <col customWidth="1" min="16" max="16" width="5.43"/>
    <col customWidth="1" min="17" max="17" width="7.0"/>
  </cols>
  <sheetData>
    <row r="1">
      <c r="A1" s="4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0"/>
      <c r="R1" s="9"/>
      <c r="S1" s="9"/>
      <c r="T1" s="9"/>
      <c r="U1" s="9"/>
      <c r="V1" s="9"/>
      <c r="W1" s="9"/>
      <c r="X1" s="9"/>
      <c r="Y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9"/>
      <c r="B3" s="9"/>
      <c r="C3" s="9"/>
      <c r="D3" s="9"/>
      <c r="E3" s="9"/>
      <c r="F3" s="16" t="s">
        <v>7</v>
      </c>
      <c r="G3" s="17" t="s">
        <v>4</v>
      </c>
      <c r="H3" s="10"/>
      <c r="I3" s="18" t="s">
        <v>11</v>
      </c>
      <c r="J3" s="10"/>
      <c r="K3" s="20" t="s">
        <v>13</v>
      </c>
      <c r="L3" s="10"/>
      <c r="M3" s="22" t="s">
        <v>15</v>
      </c>
      <c r="N3" s="10"/>
      <c r="O3" s="24" t="s">
        <v>18</v>
      </c>
      <c r="P3" s="10"/>
      <c r="Q3" s="26" t="s">
        <v>22</v>
      </c>
      <c r="R3" s="9"/>
      <c r="S3" s="9"/>
      <c r="T3" s="9"/>
      <c r="U3" s="9"/>
      <c r="V3" s="9"/>
      <c r="W3" s="9"/>
      <c r="X3" s="9"/>
      <c r="Y3" s="9"/>
    </row>
    <row r="4">
      <c r="A4" s="29" t="s">
        <v>29</v>
      </c>
      <c r="B4" s="29" t="s">
        <v>14</v>
      </c>
      <c r="C4" s="29" t="s">
        <v>5</v>
      </c>
      <c r="D4" s="29" t="s">
        <v>30</v>
      </c>
      <c r="E4" s="29" t="s">
        <v>31</v>
      </c>
      <c r="F4" s="31" t="s">
        <v>33</v>
      </c>
      <c r="G4" s="31" t="s">
        <v>35</v>
      </c>
      <c r="H4" s="31" t="s">
        <v>36</v>
      </c>
      <c r="I4" s="31" t="s">
        <v>37</v>
      </c>
      <c r="J4" s="31" t="s">
        <v>38</v>
      </c>
      <c r="K4" s="31" t="s">
        <v>39</v>
      </c>
      <c r="L4" s="31" t="s">
        <v>40</v>
      </c>
      <c r="M4" s="31" t="s">
        <v>41</v>
      </c>
      <c r="N4" s="31" t="s">
        <v>42</v>
      </c>
      <c r="O4" s="31" t="s">
        <v>43</v>
      </c>
      <c r="P4" s="31" t="s">
        <v>45</v>
      </c>
      <c r="Q4" s="31" t="s">
        <v>47</v>
      </c>
      <c r="R4" s="9"/>
      <c r="S4" s="9"/>
      <c r="T4" s="9"/>
      <c r="U4" s="9"/>
      <c r="V4" s="9"/>
      <c r="W4" s="9"/>
      <c r="X4" s="9"/>
      <c r="Y4" s="9"/>
    </row>
    <row r="5">
      <c r="A5" s="41" t="s">
        <v>49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/>
      <c r="R5" s="9"/>
      <c r="S5" s="9"/>
      <c r="T5" s="9"/>
      <c r="U5" s="9"/>
      <c r="V5" s="9"/>
      <c r="W5" s="9"/>
      <c r="X5" s="9"/>
      <c r="Y5" s="9"/>
    </row>
    <row r="6">
      <c r="A6" s="45" t="s">
        <v>21</v>
      </c>
      <c r="B6" s="46" t="s">
        <v>34</v>
      </c>
      <c r="C6" s="47" t="s">
        <v>4</v>
      </c>
      <c r="D6" s="47">
        <v>16.0</v>
      </c>
      <c r="E6" s="49"/>
      <c r="F6" s="51"/>
      <c r="G6" s="52" t="s">
        <v>54</v>
      </c>
      <c r="H6" s="52" t="s">
        <v>54</v>
      </c>
      <c r="I6" s="51"/>
      <c r="J6" s="51"/>
      <c r="K6" s="51"/>
      <c r="L6" s="51"/>
      <c r="M6" s="51"/>
      <c r="N6" s="51"/>
      <c r="O6" s="51"/>
      <c r="P6" s="51"/>
      <c r="Q6" s="51"/>
      <c r="R6" s="9"/>
      <c r="S6" s="9"/>
      <c r="T6" s="9"/>
      <c r="U6" s="9"/>
      <c r="V6" s="9"/>
      <c r="W6" s="9"/>
      <c r="X6" s="9"/>
      <c r="Y6" s="9"/>
    </row>
    <row r="7">
      <c r="A7" s="45" t="s">
        <v>21</v>
      </c>
      <c r="B7" s="46" t="s">
        <v>48</v>
      </c>
      <c r="C7" s="47" t="s">
        <v>4</v>
      </c>
      <c r="D7" s="47">
        <v>8.0</v>
      </c>
      <c r="E7" s="49"/>
      <c r="F7" s="51"/>
      <c r="G7" s="52" t="s">
        <v>54</v>
      </c>
      <c r="H7" s="52" t="s">
        <v>54</v>
      </c>
      <c r="I7" s="51"/>
      <c r="J7" s="51"/>
      <c r="K7" s="51"/>
      <c r="L7" s="51"/>
      <c r="M7" s="51"/>
      <c r="N7" s="51"/>
      <c r="O7" s="51"/>
      <c r="P7" s="51"/>
      <c r="Q7" s="51"/>
      <c r="R7" s="9"/>
      <c r="S7" s="9"/>
      <c r="T7" s="9"/>
      <c r="U7" s="9"/>
      <c r="V7" s="9"/>
      <c r="W7" s="9"/>
      <c r="X7" s="9"/>
      <c r="Y7" s="9"/>
    </row>
    <row r="8">
      <c r="A8" s="45" t="s">
        <v>21</v>
      </c>
      <c r="B8" s="46" t="s">
        <v>50</v>
      </c>
      <c r="C8" s="47" t="s">
        <v>4</v>
      </c>
      <c r="D8" s="47">
        <v>12.0</v>
      </c>
      <c r="E8" s="49"/>
      <c r="F8" s="51"/>
      <c r="G8" s="52" t="s">
        <v>54</v>
      </c>
      <c r="H8" s="52" t="s">
        <v>54</v>
      </c>
      <c r="I8" s="51"/>
      <c r="J8" s="51"/>
      <c r="K8" s="51"/>
      <c r="L8" s="51"/>
      <c r="M8" s="51"/>
      <c r="N8" s="51"/>
      <c r="O8" s="51"/>
      <c r="P8" s="51"/>
      <c r="Q8" s="51"/>
      <c r="R8" s="9"/>
      <c r="S8" s="9"/>
      <c r="T8" s="9"/>
      <c r="U8" s="9"/>
      <c r="V8" s="9"/>
      <c r="W8" s="9"/>
      <c r="X8" s="9"/>
      <c r="Y8" s="9"/>
    </row>
    <row r="9">
      <c r="A9" s="45" t="s">
        <v>21</v>
      </c>
      <c r="B9" s="46" t="s">
        <v>56</v>
      </c>
      <c r="C9" s="47" t="s">
        <v>4</v>
      </c>
      <c r="D9" s="47">
        <v>16.0</v>
      </c>
      <c r="E9" s="49"/>
      <c r="F9" s="51"/>
      <c r="G9" s="52" t="s">
        <v>54</v>
      </c>
      <c r="H9" s="52" t="s">
        <v>54</v>
      </c>
      <c r="I9" s="51"/>
      <c r="J9" s="51"/>
      <c r="K9" s="51"/>
      <c r="L9" s="51"/>
      <c r="M9" s="51"/>
      <c r="N9" s="51"/>
      <c r="O9" s="51"/>
      <c r="P9" s="51"/>
      <c r="Q9" s="51"/>
      <c r="R9" s="9"/>
      <c r="S9" s="9"/>
      <c r="T9" s="9"/>
      <c r="U9" s="9"/>
      <c r="V9" s="9"/>
      <c r="W9" s="9"/>
      <c r="X9" s="9"/>
      <c r="Y9" s="9"/>
    </row>
    <row r="10">
      <c r="A10" s="45" t="s">
        <v>21</v>
      </c>
      <c r="B10" s="46" t="s">
        <v>58</v>
      </c>
      <c r="C10" s="47" t="s">
        <v>4</v>
      </c>
      <c r="D10" s="47">
        <v>10.0</v>
      </c>
      <c r="E10" s="49"/>
      <c r="F10" s="51"/>
      <c r="G10" s="52" t="s">
        <v>54</v>
      </c>
      <c r="H10" s="52" t="s">
        <v>54</v>
      </c>
      <c r="I10" s="51"/>
      <c r="J10" s="51"/>
      <c r="K10" s="51"/>
      <c r="L10" s="51"/>
      <c r="M10" s="51"/>
      <c r="N10" s="51"/>
      <c r="O10" s="51"/>
      <c r="P10" s="51"/>
      <c r="Q10" s="51"/>
      <c r="R10" s="9"/>
      <c r="S10" s="9"/>
      <c r="T10" s="9"/>
      <c r="U10" s="9"/>
      <c r="V10" s="9"/>
      <c r="W10" s="9"/>
      <c r="X10" s="9"/>
      <c r="Y10" s="9"/>
    </row>
    <row r="11">
      <c r="A11" s="45" t="s">
        <v>21</v>
      </c>
      <c r="B11" s="46" t="s">
        <v>74</v>
      </c>
      <c r="C11" s="47" t="s">
        <v>4</v>
      </c>
      <c r="D11" s="47">
        <v>16.0</v>
      </c>
      <c r="E11" s="49"/>
      <c r="F11" s="51"/>
      <c r="G11" s="52" t="s">
        <v>54</v>
      </c>
      <c r="H11" s="52" t="s">
        <v>54</v>
      </c>
      <c r="I11" s="51"/>
      <c r="J11" s="51"/>
      <c r="K11" s="51"/>
      <c r="L11" s="51"/>
      <c r="M11" s="51"/>
      <c r="N11" s="51"/>
      <c r="O11" s="51"/>
      <c r="P11" s="51"/>
      <c r="Q11" s="51"/>
      <c r="R11" s="9"/>
      <c r="S11" s="9"/>
      <c r="T11" s="9"/>
      <c r="U11" s="9"/>
      <c r="V11" s="9"/>
      <c r="W11" s="9"/>
      <c r="X11" s="9"/>
      <c r="Y11" s="9"/>
    </row>
    <row r="12">
      <c r="A12" s="45" t="s">
        <v>21</v>
      </c>
      <c r="B12" s="46" t="s">
        <v>78</v>
      </c>
      <c r="C12" s="47" t="s">
        <v>11</v>
      </c>
      <c r="D12" s="47">
        <v>16.0</v>
      </c>
      <c r="E12" s="49"/>
      <c r="F12" s="51"/>
      <c r="G12" s="51"/>
      <c r="H12" s="51"/>
      <c r="I12" s="64" t="s">
        <v>54</v>
      </c>
      <c r="J12" s="64" t="s">
        <v>54</v>
      </c>
      <c r="K12" s="51"/>
      <c r="L12" s="51"/>
      <c r="M12" s="51"/>
      <c r="N12" s="51"/>
      <c r="O12" s="51"/>
      <c r="P12" s="51"/>
      <c r="Q12" s="51"/>
      <c r="R12" s="9"/>
      <c r="S12" s="9"/>
      <c r="T12" s="9"/>
      <c r="U12" s="9"/>
      <c r="V12" s="9"/>
      <c r="W12" s="9"/>
      <c r="X12" s="9"/>
      <c r="Y12" s="9"/>
    </row>
    <row r="13">
      <c r="A13" s="45" t="s">
        <v>21</v>
      </c>
      <c r="B13" s="46" t="s">
        <v>80</v>
      </c>
      <c r="C13" s="47" t="s">
        <v>11</v>
      </c>
      <c r="D13" s="47">
        <v>6.0</v>
      </c>
      <c r="E13" s="49"/>
      <c r="F13" s="51"/>
      <c r="G13" s="51"/>
      <c r="H13" s="51"/>
      <c r="I13" s="64" t="s">
        <v>54</v>
      </c>
      <c r="J13" s="64" t="s">
        <v>54</v>
      </c>
      <c r="K13" s="51"/>
      <c r="L13" s="51"/>
      <c r="M13" s="51"/>
      <c r="N13" s="51"/>
      <c r="O13" s="51"/>
      <c r="P13" s="51"/>
      <c r="Q13" s="51"/>
      <c r="R13" s="9"/>
      <c r="S13" s="9"/>
      <c r="T13" s="9"/>
      <c r="U13" s="9"/>
      <c r="V13" s="9"/>
      <c r="W13" s="9"/>
      <c r="X13" s="9"/>
      <c r="Y13" s="9"/>
    </row>
    <row r="14">
      <c r="A14" s="45" t="s">
        <v>21</v>
      </c>
      <c r="B14" s="46" t="s">
        <v>83</v>
      </c>
      <c r="C14" s="47" t="s">
        <v>13</v>
      </c>
      <c r="D14" s="47">
        <v>10.0</v>
      </c>
      <c r="E14" s="49"/>
      <c r="F14" s="51"/>
      <c r="G14" s="51"/>
      <c r="H14" s="51"/>
      <c r="I14" s="51"/>
      <c r="J14" s="51"/>
      <c r="K14" s="75" t="s">
        <v>54</v>
      </c>
      <c r="L14" s="75" t="s">
        <v>54</v>
      </c>
      <c r="M14" s="51"/>
      <c r="N14" s="51"/>
      <c r="O14" s="51"/>
      <c r="P14" s="51"/>
      <c r="Q14" s="51"/>
      <c r="R14" s="9"/>
      <c r="S14" s="9"/>
      <c r="T14" s="9"/>
      <c r="U14" s="9"/>
      <c r="V14" s="9"/>
      <c r="W14" s="9"/>
      <c r="X14" s="9"/>
      <c r="Y14" s="9"/>
    </row>
    <row r="15">
      <c r="A15" s="45" t="s">
        <v>21</v>
      </c>
      <c r="B15" s="46" t="s">
        <v>91</v>
      </c>
      <c r="C15" s="47" t="s">
        <v>13</v>
      </c>
      <c r="D15" s="47">
        <v>6.0</v>
      </c>
      <c r="E15" s="49"/>
      <c r="F15" s="51"/>
      <c r="G15" s="51"/>
      <c r="H15" s="51"/>
      <c r="I15" s="51"/>
      <c r="J15" s="51"/>
      <c r="K15" s="75" t="s">
        <v>54</v>
      </c>
      <c r="L15" s="75" t="s">
        <v>54</v>
      </c>
      <c r="M15" s="51"/>
      <c r="N15" s="51"/>
      <c r="O15" s="51"/>
      <c r="P15" s="51"/>
      <c r="Q15" s="51"/>
      <c r="R15" s="9"/>
      <c r="S15" s="9"/>
      <c r="T15" s="9"/>
      <c r="U15" s="9"/>
      <c r="V15" s="9"/>
      <c r="W15" s="9"/>
      <c r="X15" s="9"/>
      <c r="Y15" s="9"/>
    </row>
    <row r="16">
      <c r="A16" s="45" t="s">
        <v>21</v>
      </c>
      <c r="B16" s="46" t="s">
        <v>93</v>
      </c>
      <c r="C16" s="47" t="s">
        <v>13</v>
      </c>
      <c r="D16" s="47">
        <v>4.0</v>
      </c>
      <c r="E16" s="49"/>
      <c r="F16" s="51"/>
      <c r="G16" s="51"/>
      <c r="H16" s="51"/>
      <c r="I16" s="51"/>
      <c r="J16" s="51"/>
      <c r="K16" s="75" t="s">
        <v>54</v>
      </c>
      <c r="L16" s="75" t="s">
        <v>54</v>
      </c>
      <c r="M16" s="51"/>
      <c r="N16" s="51"/>
      <c r="O16" s="51"/>
      <c r="P16" s="51"/>
      <c r="Q16" s="51"/>
      <c r="R16" s="9"/>
      <c r="S16" s="9"/>
      <c r="T16" s="9"/>
      <c r="U16" s="9"/>
      <c r="V16" s="9"/>
      <c r="W16" s="9"/>
      <c r="X16" s="9"/>
      <c r="Y16" s="9"/>
    </row>
    <row r="17">
      <c r="A17" s="45" t="s">
        <v>21</v>
      </c>
      <c r="B17" s="46" t="s">
        <v>95</v>
      </c>
      <c r="C17" s="47" t="s">
        <v>13</v>
      </c>
      <c r="D17" s="47">
        <v>6.0</v>
      </c>
      <c r="E17" s="49"/>
      <c r="F17" s="51"/>
      <c r="G17" s="51"/>
      <c r="H17" s="51"/>
      <c r="I17" s="51"/>
      <c r="J17" s="51"/>
      <c r="K17" s="75" t="s">
        <v>54</v>
      </c>
      <c r="L17" s="75" t="s">
        <v>54</v>
      </c>
      <c r="M17" s="51"/>
      <c r="N17" s="51"/>
      <c r="O17" s="51"/>
      <c r="P17" s="51"/>
      <c r="Q17" s="51"/>
      <c r="R17" s="9"/>
      <c r="S17" s="9"/>
      <c r="T17" s="9"/>
      <c r="U17" s="9"/>
      <c r="V17" s="9"/>
      <c r="W17" s="9"/>
      <c r="X17" s="9"/>
      <c r="Y17" s="9"/>
    </row>
    <row r="18">
      <c r="A18" s="45" t="s">
        <v>21</v>
      </c>
      <c r="B18" s="46" t="s">
        <v>99</v>
      </c>
      <c r="C18" s="47" t="s">
        <v>15</v>
      </c>
      <c r="D18" s="47">
        <v>10.0</v>
      </c>
      <c r="E18" s="49"/>
      <c r="F18" s="51"/>
      <c r="G18" s="51"/>
      <c r="H18" s="51"/>
      <c r="I18" s="51"/>
      <c r="J18" s="51"/>
      <c r="K18" s="51"/>
      <c r="L18" s="51"/>
      <c r="M18" s="89" t="s">
        <v>54</v>
      </c>
      <c r="N18" s="89" t="s">
        <v>54</v>
      </c>
      <c r="O18" s="51"/>
      <c r="P18" s="51"/>
      <c r="Q18" s="51"/>
      <c r="R18" s="9"/>
      <c r="S18" s="9"/>
      <c r="T18" s="9"/>
      <c r="U18" s="9"/>
      <c r="V18" s="9"/>
      <c r="W18" s="9"/>
      <c r="X18" s="9"/>
      <c r="Y18" s="9"/>
    </row>
    <row r="19">
      <c r="A19" s="45" t="s">
        <v>21</v>
      </c>
      <c r="B19" s="46" t="s">
        <v>101</v>
      </c>
      <c r="C19" s="47" t="s">
        <v>15</v>
      </c>
      <c r="D19" s="47">
        <v>16.0</v>
      </c>
      <c r="E19" s="49"/>
      <c r="F19" s="51"/>
      <c r="G19" s="51"/>
      <c r="H19" s="51"/>
      <c r="I19" s="51"/>
      <c r="J19" s="51"/>
      <c r="K19" s="51"/>
      <c r="L19" s="51"/>
      <c r="M19" s="89" t="s">
        <v>54</v>
      </c>
      <c r="N19" s="89" t="s">
        <v>54</v>
      </c>
      <c r="O19" s="51"/>
      <c r="P19" s="51"/>
      <c r="Q19" s="51"/>
      <c r="R19" s="9"/>
      <c r="S19" s="9"/>
      <c r="T19" s="9"/>
      <c r="U19" s="9"/>
      <c r="V19" s="9"/>
      <c r="W19" s="9"/>
      <c r="X19" s="9"/>
      <c r="Y19" s="9"/>
    </row>
    <row r="20">
      <c r="A20" s="45" t="s">
        <v>21</v>
      </c>
      <c r="B20" s="46" t="s">
        <v>103</v>
      </c>
      <c r="C20" s="47" t="s">
        <v>15</v>
      </c>
      <c r="D20" s="47">
        <v>20.0</v>
      </c>
      <c r="E20" s="49"/>
      <c r="F20" s="51"/>
      <c r="G20" s="51"/>
      <c r="H20" s="51"/>
      <c r="I20" s="51"/>
      <c r="J20" s="51"/>
      <c r="K20" s="51"/>
      <c r="L20" s="51"/>
      <c r="M20" s="89" t="s">
        <v>54</v>
      </c>
      <c r="N20" s="89" t="s">
        <v>54</v>
      </c>
      <c r="O20" s="51"/>
      <c r="P20" s="51"/>
      <c r="Q20" s="51"/>
      <c r="R20" s="9"/>
      <c r="S20" s="9"/>
      <c r="T20" s="9"/>
      <c r="U20" s="9"/>
      <c r="V20" s="9"/>
      <c r="W20" s="9"/>
      <c r="X20" s="9"/>
      <c r="Y20" s="9"/>
    </row>
    <row r="21" ht="15.75" customHeight="1">
      <c r="A21" s="45" t="s">
        <v>21</v>
      </c>
      <c r="B21" s="46" t="s">
        <v>105</v>
      </c>
      <c r="C21" s="47" t="s">
        <v>15</v>
      </c>
      <c r="D21" s="47">
        <v>6.0</v>
      </c>
      <c r="E21" s="49"/>
      <c r="F21" s="51"/>
      <c r="G21" s="51"/>
      <c r="H21" s="51"/>
      <c r="I21" s="51"/>
      <c r="J21" s="51"/>
      <c r="K21" s="51"/>
      <c r="L21" s="51"/>
      <c r="M21" s="89" t="s">
        <v>54</v>
      </c>
      <c r="N21" s="89" t="s">
        <v>54</v>
      </c>
      <c r="O21" s="51"/>
      <c r="P21" s="51"/>
      <c r="Q21" s="51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45" t="s">
        <v>21</v>
      </c>
      <c r="B22" s="46" t="s">
        <v>107</v>
      </c>
      <c r="C22" s="47" t="s">
        <v>18</v>
      </c>
      <c r="D22" s="47">
        <v>16.0</v>
      </c>
      <c r="E22" s="49"/>
      <c r="F22" s="51"/>
      <c r="G22" s="51"/>
      <c r="H22" s="51"/>
      <c r="I22" s="51"/>
      <c r="J22" s="51"/>
      <c r="K22" s="51"/>
      <c r="L22" s="51"/>
      <c r="M22" s="51"/>
      <c r="N22" s="51"/>
      <c r="O22" s="94" t="s">
        <v>54</v>
      </c>
      <c r="P22" s="94" t="s">
        <v>54</v>
      </c>
      <c r="Q22" s="51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45" t="s">
        <v>21</v>
      </c>
      <c r="B23" s="46" t="s">
        <v>109</v>
      </c>
      <c r="C23" s="47" t="s">
        <v>18</v>
      </c>
      <c r="D23" s="47">
        <v>40.0</v>
      </c>
      <c r="E23" s="49"/>
      <c r="F23" s="51"/>
      <c r="G23" s="51"/>
      <c r="H23" s="51"/>
      <c r="I23" s="51"/>
      <c r="J23" s="51"/>
      <c r="K23" s="51"/>
      <c r="L23" s="51"/>
      <c r="M23" s="51"/>
      <c r="N23" s="51"/>
      <c r="O23" s="94" t="s">
        <v>54</v>
      </c>
      <c r="P23" s="94" t="s">
        <v>54</v>
      </c>
      <c r="Q23" s="51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45" t="s">
        <v>21</v>
      </c>
      <c r="B24" s="46" t="s">
        <v>111</v>
      </c>
      <c r="C24" s="47" t="s">
        <v>18</v>
      </c>
      <c r="D24" s="47">
        <v>12.0</v>
      </c>
      <c r="E24" s="49"/>
      <c r="F24" s="51"/>
      <c r="G24" s="51"/>
      <c r="H24" s="51"/>
      <c r="I24" s="51"/>
      <c r="J24" s="51"/>
      <c r="K24" s="51"/>
      <c r="L24" s="51"/>
      <c r="M24" s="51"/>
      <c r="N24" s="51"/>
      <c r="O24" s="94" t="s">
        <v>54</v>
      </c>
      <c r="P24" s="94" t="s">
        <v>54</v>
      </c>
      <c r="Q24" s="51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45" t="s">
        <v>21</v>
      </c>
      <c r="B25" s="46" t="s">
        <v>113</v>
      </c>
      <c r="C25" s="47" t="s">
        <v>18</v>
      </c>
      <c r="D25" s="47">
        <v>6.0</v>
      </c>
      <c r="E25" s="49"/>
      <c r="F25" s="51"/>
      <c r="G25" s="51"/>
      <c r="H25" s="51"/>
      <c r="I25" s="51"/>
      <c r="J25" s="51"/>
      <c r="K25" s="51"/>
      <c r="L25" s="51"/>
      <c r="M25" s="51"/>
      <c r="N25" s="51"/>
      <c r="O25" s="94" t="s">
        <v>54</v>
      </c>
      <c r="P25" s="94" t="s">
        <v>54</v>
      </c>
      <c r="Q25" s="51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41" t="s">
        <v>119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0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99" t="s">
        <v>23</v>
      </c>
      <c r="B28" s="100" t="s">
        <v>53</v>
      </c>
      <c r="C28" s="101" t="s">
        <v>4</v>
      </c>
      <c r="D28" s="101">
        <v>8.0</v>
      </c>
      <c r="E28" s="49"/>
      <c r="F28" s="51"/>
      <c r="G28" s="52" t="s">
        <v>54</v>
      </c>
      <c r="H28" s="52" t="s">
        <v>54</v>
      </c>
      <c r="I28" s="51"/>
      <c r="J28" s="51"/>
      <c r="K28" s="51"/>
      <c r="L28" s="51"/>
      <c r="M28" s="51"/>
      <c r="N28" s="51"/>
      <c r="O28" s="51"/>
      <c r="P28" s="51"/>
      <c r="Q28" s="51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99" t="s">
        <v>23</v>
      </c>
      <c r="B29" s="100" t="s">
        <v>59</v>
      </c>
      <c r="C29" s="101" t="s">
        <v>4</v>
      </c>
      <c r="D29" s="101">
        <v>4.0</v>
      </c>
      <c r="E29" s="49"/>
      <c r="F29" s="51"/>
      <c r="G29" s="52" t="s">
        <v>54</v>
      </c>
      <c r="H29" s="52" t="s">
        <v>54</v>
      </c>
      <c r="I29" s="51"/>
      <c r="J29" s="51"/>
      <c r="K29" s="51"/>
      <c r="L29" s="51"/>
      <c r="M29" s="51"/>
      <c r="N29" s="51"/>
      <c r="O29" s="51"/>
      <c r="P29" s="51"/>
      <c r="Q29" s="51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99" t="s">
        <v>23</v>
      </c>
      <c r="B30" s="100" t="s">
        <v>62</v>
      </c>
      <c r="C30" s="101" t="s">
        <v>4</v>
      </c>
      <c r="D30" s="101">
        <v>6.0</v>
      </c>
      <c r="E30" s="49"/>
      <c r="F30" s="51"/>
      <c r="G30" s="52" t="s">
        <v>54</v>
      </c>
      <c r="H30" s="52" t="s">
        <v>54</v>
      </c>
      <c r="I30" s="51"/>
      <c r="J30" s="51"/>
      <c r="K30" s="51"/>
      <c r="L30" s="51"/>
      <c r="M30" s="51"/>
      <c r="N30" s="51"/>
      <c r="O30" s="51"/>
      <c r="P30" s="51"/>
      <c r="Q30" s="51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99" t="s">
        <v>23</v>
      </c>
      <c r="B31" s="100" t="s">
        <v>73</v>
      </c>
      <c r="C31" s="101" t="s">
        <v>4</v>
      </c>
      <c r="D31" s="101">
        <v>12.0</v>
      </c>
      <c r="E31" s="49"/>
      <c r="F31" s="51"/>
      <c r="G31" s="52" t="s">
        <v>54</v>
      </c>
      <c r="H31" s="52" t="s">
        <v>54</v>
      </c>
      <c r="I31" s="51"/>
      <c r="J31" s="51"/>
      <c r="K31" s="51"/>
      <c r="L31" s="51"/>
      <c r="M31" s="51"/>
      <c r="N31" s="51"/>
      <c r="O31" s="51"/>
      <c r="P31" s="51"/>
      <c r="Q31" s="51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99" t="s">
        <v>23</v>
      </c>
      <c r="B32" s="100" t="s">
        <v>84</v>
      </c>
      <c r="C32" s="101" t="s">
        <v>11</v>
      </c>
      <c r="D32" s="101">
        <v>16.0</v>
      </c>
      <c r="E32" s="49"/>
      <c r="F32" s="51"/>
      <c r="G32" s="51"/>
      <c r="H32" s="51"/>
      <c r="I32" s="64" t="s">
        <v>54</v>
      </c>
      <c r="J32" s="64" t="s">
        <v>54</v>
      </c>
      <c r="K32" s="51"/>
      <c r="L32" s="51"/>
      <c r="M32" s="51"/>
      <c r="N32" s="51"/>
      <c r="O32" s="51"/>
      <c r="P32" s="51"/>
      <c r="Q32" s="51"/>
      <c r="R32" s="9"/>
      <c r="S32" s="9"/>
      <c r="T32" s="9"/>
      <c r="U32" s="9"/>
      <c r="V32" s="9"/>
      <c r="W32" s="9"/>
      <c r="X32" s="9"/>
      <c r="Y32" s="9"/>
    </row>
    <row r="33" ht="15.75" customHeight="1">
      <c r="A33" s="99" t="s">
        <v>23</v>
      </c>
      <c r="B33" s="100" t="s">
        <v>98</v>
      </c>
      <c r="C33" s="101" t="s">
        <v>11</v>
      </c>
      <c r="D33" s="101">
        <v>20.0</v>
      </c>
      <c r="E33" s="49"/>
      <c r="F33" s="51"/>
      <c r="G33" s="51"/>
      <c r="H33" s="51"/>
      <c r="I33" s="64" t="s">
        <v>54</v>
      </c>
      <c r="J33" s="64" t="s">
        <v>54</v>
      </c>
      <c r="K33" s="51"/>
      <c r="L33" s="51"/>
      <c r="M33" s="51"/>
      <c r="N33" s="51"/>
      <c r="O33" s="51"/>
      <c r="P33" s="51"/>
      <c r="Q33" s="51"/>
      <c r="R33" s="9"/>
      <c r="S33" s="9"/>
      <c r="T33" s="9"/>
      <c r="U33" s="9"/>
      <c r="V33" s="9"/>
      <c r="W33" s="9"/>
      <c r="X33" s="9"/>
      <c r="Y33" s="9"/>
    </row>
    <row r="34" ht="15.75" customHeight="1">
      <c r="A34" s="99" t="s">
        <v>23</v>
      </c>
      <c r="B34" s="100" t="s">
        <v>100</v>
      </c>
      <c r="C34" s="101" t="s">
        <v>11</v>
      </c>
      <c r="D34" s="101">
        <v>12.0</v>
      </c>
      <c r="E34" s="49"/>
      <c r="F34" s="51"/>
      <c r="G34" s="51"/>
      <c r="H34" s="51"/>
      <c r="I34" s="64" t="s">
        <v>54</v>
      </c>
      <c r="J34" s="64" t="s">
        <v>54</v>
      </c>
      <c r="K34" s="51"/>
      <c r="L34" s="51"/>
      <c r="M34" s="51"/>
      <c r="N34" s="51"/>
      <c r="O34" s="51"/>
      <c r="P34" s="51"/>
      <c r="Q34" s="51"/>
      <c r="R34" s="9"/>
      <c r="S34" s="9"/>
      <c r="T34" s="9"/>
      <c r="U34" s="9"/>
      <c r="V34" s="9"/>
      <c r="W34" s="9"/>
      <c r="X34" s="9"/>
      <c r="Y34" s="9"/>
    </row>
    <row r="35" ht="15.75" customHeight="1">
      <c r="A35" s="99" t="s">
        <v>23</v>
      </c>
      <c r="B35" s="100" t="s">
        <v>135</v>
      </c>
      <c r="C35" s="101" t="s">
        <v>11</v>
      </c>
      <c r="D35" s="101">
        <v>4.0</v>
      </c>
      <c r="E35" s="49"/>
      <c r="F35" s="51"/>
      <c r="G35" s="51"/>
      <c r="H35" s="51"/>
      <c r="I35" s="64" t="s">
        <v>54</v>
      </c>
      <c r="J35" s="64" t="s">
        <v>54</v>
      </c>
      <c r="K35" s="51"/>
      <c r="L35" s="51"/>
      <c r="M35" s="51"/>
      <c r="N35" s="51"/>
      <c r="O35" s="51"/>
      <c r="P35" s="51"/>
      <c r="Q35" s="51"/>
      <c r="R35" s="9"/>
      <c r="S35" s="9"/>
      <c r="T35" s="9"/>
      <c r="U35" s="9"/>
      <c r="V35" s="9"/>
      <c r="W35" s="9"/>
      <c r="X35" s="9"/>
      <c r="Y35" s="9"/>
    </row>
    <row r="36" ht="15.75" customHeight="1">
      <c r="A36" s="99" t="s">
        <v>23</v>
      </c>
      <c r="B36" s="100" t="s">
        <v>124</v>
      </c>
      <c r="C36" s="101" t="s">
        <v>11</v>
      </c>
      <c r="D36" s="101">
        <v>6.0</v>
      </c>
      <c r="E36" s="49"/>
      <c r="F36" s="51"/>
      <c r="G36" s="51"/>
      <c r="H36" s="51"/>
      <c r="I36" s="64" t="s">
        <v>54</v>
      </c>
      <c r="J36" s="64" t="s">
        <v>54</v>
      </c>
      <c r="K36" s="51"/>
      <c r="L36" s="51"/>
      <c r="M36" s="51"/>
      <c r="N36" s="51"/>
      <c r="O36" s="51"/>
      <c r="P36" s="51"/>
      <c r="Q36" s="51"/>
      <c r="R36" s="9"/>
      <c r="S36" s="9"/>
      <c r="T36" s="9"/>
      <c r="U36" s="9"/>
      <c r="V36" s="9"/>
      <c r="W36" s="9"/>
      <c r="X36" s="9"/>
      <c r="Y36" s="9"/>
    </row>
    <row r="37" ht="15.75" customHeight="1">
      <c r="A37" s="99" t="s">
        <v>23</v>
      </c>
      <c r="B37" s="100" t="s">
        <v>139</v>
      </c>
      <c r="C37" s="101" t="s">
        <v>13</v>
      </c>
      <c r="D37" s="101">
        <v>20.0</v>
      </c>
      <c r="E37" s="49"/>
      <c r="F37" s="51"/>
      <c r="G37" s="51"/>
      <c r="H37" s="51"/>
      <c r="I37" s="51"/>
      <c r="J37" s="51"/>
      <c r="K37" s="75" t="s">
        <v>54</v>
      </c>
      <c r="L37" s="75" t="s">
        <v>54</v>
      </c>
      <c r="M37" s="51"/>
      <c r="N37" s="51"/>
      <c r="O37" s="51"/>
      <c r="P37" s="51"/>
      <c r="Q37" s="51"/>
      <c r="R37" s="9"/>
      <c r="S37" s="9"/>
      <c r="T37" s="9"/>
      <c r="U37" s="9"/>
      <c r="V37" s="9"/>
      <c r="W37" s="9"/>
      <c r="X37" s="9"/>
      <c r="Y37" s="9"/>
    </row>
    <row r="38" ht="15.75" customHeight="1">
      <c r="A38" s="99" t="s">
        <v>23</v>
      </c>
      <c r="B38" s="100" t="s">
        <v>142</v>
      </c>
      <c r="C38" s="101" t="s">
        <v>13</v>
      </c>
      <c r="D38" s="101">
        <v>16.0</v>
      </c>
      <c r="E38" s="49"/>
      <c r="F38" s="51"/>
      <c r="G38" s="51"/>
      <c r="H38" s="51"/>
      <c r="I38" s="51"/>
      <c r="J38" s="51"/>
      <c r="K38" s="75" t="s">
        <v>54</v>
      </c>
      <c r="L38" s="75" t="s">
        <v>54</v>
      </c>
      <c r="M38" s="51"/>
      <c r="N38" s="51"/>
      <c r="O38" s="51"/>
      <c r="P38" s="51"/>
      <c r="Q38" s="51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99" t="s">
        <v>23</v>
      </c>
      <c r="B39" s="100" t="s">
        <v>144</v>
      </c>
      <c r="C39" s="101" t="s">
        <v>13</v>
      </c>
      <c r="D39" s="101">
        <v>12.0</v>
      </c>
      <c r="E39" s="49"/>
      <c r="F39" s="51"/>
      <c r="G39" s="51"/>
      <c r="H39" s="51"/>
      <c r="I39" s="51"/>
      <c r="J39" s="51"/>
      <c r="K39" s="75" t="s">
        <v>54</v>
      </c>
      <c r="L39" s="75" t="s">
        <v>54</v>
      </c>
      <c r="M39" s="51"/>
      <c r="N39" s="51"/>
      <c r="O39" s="51"/>
      <c r="P39" s="51"/>
      <c r="Q39" s="51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99" t="s">
        <v>23</v>
      </c>
      <c r="B40" s="100" t="s">
        <v>147</v>
      </c>
      <c r="C40" s="101" t="s">
        <v>13</v>
      </c>
      <c r="D40" s="101">
        <v>12.0</v>
      </c>
      <c r="E40" s="49"/>
      <c r="F40" s="51"/>
      <c r="G40" s="51"/>
      <c r="H40" s="51"/>
      <c r="I40" s="51"/>
      <c r="J40" s="51"/>
      <c r="K40" s="75" t="s">
        <v>54</v>
      </c>
      <c r="L40" s="75" t="s">
        <v>54</v>
      </c>
      <c r="M40" s="51"/>
      <c r="N40" s="51"/>
      <c r="O40" s="51"/>
      <c r="P40" s="51"/>
      <c r="Q40" s="51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99" t="s">
        <v>23</v>
      </c>
      <c r="B41" s="100" t="s">
        <v>151</v>
      </c>
      <c r="C41" s="101" t="s">
        <v>15</v>
      </c>
      <c r="D41" s="101">
        <v>16.0</v>
      </c>
      <c r="E41" s="49"/>
      <c r="F41" s="51"/>
      <c r="G41" s="51"/>
      <c r="H41" s="51"/>
      <c r="I41" s="51"/>
      <c r="J41" s="51"/>
      <c r="K41" s="51"/>
      <c r="L41" s="51"/>
      <c r="M41" s="89" t="s">
        <v>54</v>
      </c>
      <c r="N41" s="89" t="s">
        <v>54</v>
      </c>
      <c r="O41" s="51"/>
      <c r="P41" s="51"/>
      <c r="Q41" s="51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99" t="s">
        <v>23</v>
      </c>
      <c r="B42" s="100" t="s">
        <v>153</v>
      </c>
      <c r="C42" s="101" t="s">
        <v>15</v>
      </c>
      <c r="D42" s="101">
        <v>12.0</v>
      </c>
      <c r="E42" s="49"/>
      <c r="F42" s="51"/>
      <c r="G42" s="51"/>
      <c r="H42" s="51"/>
      <c r="I42" s="51"/>
      <c r="J42" s="51"/>
      <c r="K42" s="51"/>
      <c r="L42" s="51"/>
      <c r="M42" s="89" t="s">
        <v>54</v>
      </c>
      <c r="N42" s="89" t="s">
        <v>54</v>
      </c>
      <c r="O42" s="51"/>
      <c r="P42" s="51"/>
      <c r="Q42" s="51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99" t="s">
        <v>23</v>
      </c>
      <c r="B43" s="100" t="s">
        <v>154</v>
      </c>
      <c r="C43" s="101" t="s">
        <v>15</v>
      </c>
      <c r="D43" s="101">
        <v>12.0</v>
      </c>
      <c r="E43" s="49"/>
      <c r="F43" s="51"/>
      <c r="G43" s="51"/>
      <c r="H43" s="51"/>
      <c r="I43" s="51"/>
      <c r="J43" s="51"/>
      <c r="K43" s="51"/>
      <c r="L43" s="51"/>
      <c r="M43" s="89" t="s">
        <v>54</v>
      </c>
      <c r="N43" s="89" t="s">
        <v>54</v>
      </c>
      <c r="O43" s="51"/>
      <c r="P43" s="51"/>
      <c r="Q43" s="51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99" t="s">
        <v>23</v>
      </c>
      <c r="B44" s="100" t="s">
        <v>159</v>
      </c>
      <c r="C44" s="101" t="s">
        <v>15</v>
      </c>
      <c r="D44" s="101">
        <v>16.0</v>
      </c>
      <c r="E44" s="49"/>
      <c r="F44" s="51"/>
      <c r="G44" s="51"/>
      <c r="H44" s="51"/>
      <c r="I44" s="51"/>
      <c r="J44" s="51"/>
      <c r="K44" s="51"/>
      <c r="L44" s="51"/>
      <c r="M44" s="89" t="s">
        <v>54</v>
      </c>
      <c r="N44" s="89" t="s">
        <v>54</v>
      </c>
      <c r="O44" s="51"/>
      <c r="P44" s="51"/>
      <c r="Q44" s="51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99" t="s">
        <v>23</v>
      </c>
      <c r="B45" s="100" t="s">
        <v>161</v>
      </c>
      <c r="C45" s="101" t="s">
        <v>18</v>
      </c>
      <c r="D45" s="101">
        <v>16.0</v>
      </c>
      <c r="E45" s="49"/>
      <c r="F45" s="51"/>
      <c r="G45" s="51"/>
      <c r="H45" s="51"/>
      <c r="I45" s="51"/>
      <c r="J45" s="51"/>
      <c r="K45" s="51"/>
      <c r="L45" s="51"/>
      <c r="M45" s="51"/>
      <c r="N45" s="51"/>
      <c r="O45" s="94" t="s">
        <v>54</v>
      </c>
      <c r="P45" s="94" t="s">
        <v>54</v>
      </c>
      <c r="Q45" s="51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99" t="s">
        <v>23</v>
      </c>
      <c r="B46" s="100" t="s">
        <v>109</v>
      </c>
      <c r="C46" s="101" t="s">
        <v>18</v>
      </c>
      <c r="D46" s="101">
        <v>40.0</v>
      </c>
      <c r="E46" s="49"/>
      <c r="F46" s="51"/>
      <c r="G46" s="51"/>
      <c r="H46" s="51"/>
      <c r="I46" s="51"/>
      <c r="J46" s="51"/>
      <c r="K46" s="51"/>
      <c r="L46" s="51"/>
      <c r="M46" s="51"/>
      <c r="N46" s="51"/>
      <c r="O46" s="94" t="s">
        <v>54</v>
      </c>
      <c r="P46" s="94" t="s">
        <v>54</v>
      </c>
      <c r="Q46" s="51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99" t="s">
        <v>23</v>
      </c>
      <c r="B47" s="100" t="s">
        <v>111</v>
      </c>
      <c r="C47" s="101" t="s">
        <v>18</v>
      </c>
      <c r="D47" s="101">
        <v>12.0</v>
      </c>
      <c r="E47" s="49"/>
      <c r="F47" s="51"/>
      <c r="G47" s="51"/>
      <c r="H47" s="51"/>
      <c r="I47" s="51"/>
      <c r="J47" s="51"/>
      <c r="K47" s="51"/>
      <c r="L47" s="51"/>
      <c r="M47" s="51"/>
      <c r="N47" s="51"/>
      <c r="O47" s="94" t="s">
        <v>54</v>
      </c>
      <c r="P47" s="94" t="s">
        <v>54</v>
      </c>
      <c r="Q47" s="51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99" t="s">
        <v>23</v>
      </c>
      <c r="B48" s="100" t="s">
        <v>165</v>
      </c>
      <c r="C48" s="101" t="s">
        <v>18</v>
      </c>
      <c r="D48" s="101">
        <v>12.0</v>
      </c>
      <c r="E48" s="49"/>
      <c r="F48" s="51"/>
      <c r="G48" s="51"/>
      <c r="H48" s="51"/>
      <c r="I48" s="51"/>
      <c r="J48" s="51"/>
      <c r="K48" s="51"/>
      <c r="L48" s="51"/>
      <c r="M48" s="51"/>
      <c r="N48" s="51"/>
      <c r="O48" s="94" t="s">
        <v>54</v>
      </c>
      <c r="P48" s="94" t="s">
        <v>54</v>
      </c>
      <c r="Q48" s="51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41" t="s">
        <v>167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10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109" t="s">
        <v>24</v>
      </c>
      <c r="B51" s="110" t="s">
        <v>64</v>
      </c>
      <c r="C51" s="111" t="s">
        <v>4</v>
      </c>
      <c r="D51" s="111">
        <v>24.0</v>
      </c>
      <c r="E51" s="49"/>
      <c r="F51" s="51"/>
      <c r="G51" s="52" t="s">
        <v>54</v>
      </c>
      <c r="H51" s="52" t="s">
        <v>54</v>
      </c>
      <c r="I51" s="51"/>
      <c r="J51" s="51"/>
      <c r="K51" s="51"/>
      <c r="L51" s="51"/>
      <c r="M51" s="51"/>
      <c r="N51" s="51"/>
      <c r="O51" s="51"/>
      <c r="P51" s="51"/>
      <c r="Q51" s="51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109" t="s">
        <v>24</v>
      </c>
      <c r="B52" s="110" t="s">
        <v>110</v>
      </c>
      <c r="C52" s="111" t="s">
        <v>11</v>
      </c>
      <c r="D52" s="111">
        <v>16.0</v>
      </c>
      <c r="E52" s="49"/>
      <c r="F52" s="51"/>
      <c r="G52" s="51"/>
      <c r="H52" s="51"/>
      <c r="I52" s="64" t="s">
        <v>54</v>
      </c>
      <c r="J52" s="64" t="s">
        <v>54</v>
      </c>
      <c r="K52" s="51"/>
      <c r="L52" s="51"/>
      <c r="M52" s="51"/>
      <c r="N52" s="51"/>
      <c r="O52" s="51"/>
      <c r="P52" s="51"/>
      <c r="Q52" s="51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109" t="s">
        <v>24</v>
      </c>
      <c r="B53" s="110" t="s">
        <v>172</v>
      </c>
      <c r="C53" s="111" t="s">
        <v>11</v>
      </c>
      <c r="D53" s="111">
        <v>24.0</v>
      </c>
      <c r="E53" s="49"/>
      <c r="F53" s="51"/>
      <c r="G53" s="51"/>
      <c r="H53" s="51"/>
      <c r="I53" s="64" t="s">
        <v>54</v>
      </c>
      <c r="J53" s="64" t="s">
        <v>54</v>
      </c>
      <c r="K53" s="51"/>
      <c r="L53" s="51"/>
      <c r="M53" s="51"/>
      <c r="N53" s="51"/>
      <c r="O53" s="51"/>
      <c r="P53" s="51"/>
      <c r="Q53" s="51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109" t="s">
        <v>24</v>
      </c>
      <c r="B54" s="110" t="s">
        <v>132</v>
      </c>
      <c r="C54" s="111" t="s">
        <v>13</v>
      </c>
      <c r="D54" s="111">
        <v>12.0</v>
      </c>
      <c r="E54" s="49"/>
      <c r="F54" s="51"/>
      <c r="G54" s="51"/>
      <c r="H54" s="51"/>
      <c r="I54" s="51"/>
      <c r="J54" s="51"/>
      <c r="K54" s="75" t="s">
        <v>54</v>
      </c>
      <c r="L54" s="75" t="s">
        <v>54</v>
      </c>
      <c r="M54" s="51"/>
      <c r="N54" s="51"/>
      <c r="O54" s="51"/>
      <c r="P54" s="51"/>
      <c r="Q54" s="51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109" t="s">
        <v>24</v>
      </c>
      <c r="B55" s="110" t="s">
        <v>133</v>
      </c>
      <c r="C55" s="111" t="s">
        <v>13</v>
      </c>
      <c r="D55" s="111">
        <v>20.0</v>
      </c>
      <c r="E55" s="49"/>
      <c r="F55" s="51"/>
      <c r="G55" s="51"/>
      <c r="H55" s="51"/>
      <c r="I55" s="51"/>
      <c r="J55" s="51"/>
      <c r="K55" s="75" t="s">
        <v>54</v>
      </c>
      <c r="L55" s="75" t="s">
        <v>54</v>
      </c>
      <c r="M55" s="51"/>
      <c r="N55" s="51"/>
      <c r="O55" s="51"/>
      <c r="P55" s="51"/>
      <c r="Q55" s="51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109" t="s">
        <v>24</v>
      </c>
      <c r="B56" s="110" t="s">
        <v>171</v>
      </c>
      <c r="C56" s="111" t="s">
        <v>13</v>
      </c>
      <c r="D56" s="111">
        <v>12.0</v>
      </c>
      <c r="E56" s="49"/>
      <c r="F56" s="51"/>
      <c r="G56" s="51"/>
      <c r="H56" s="51"/>
      <c r="I56" s="51"/>
      <c r="J56" s="51"/>
      <c r="K56" s="75" t="s">
        <v>54</v>
      </c>
      <c r="L56" s="75" t="s">
        <v>54</v>
      </c>
      <c r="M56" s="51"/>
      <c r="N56" s="51"/>
      <c r="O56" s="51"/>
      <c r="P56" s="51"/>
      <c r="Q56" s="51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109" t="s">
        <v>24</v>
      </c>
      <c r="B57" s="110" t="s">
        <v>147</v>
      </c>
      <c r="C57" s="111" t="s">
        <v>13</v>
      </c>
      <c r="D57" s="111">
        <v>12.0</v>
      </c>
      <c r="E57" s="49"/>
      <c r="F57" s="51"/>
      <c r="G57" s="51"/>
      <c r="H57" s="51"/>
      <c r="I57" s="51"/>
      <c r="J57" s="51"/>
      <c r="K57" s="75" t="s">
        <v>54</v>
      </c>
      <c r="L57" s="75" t="s">
        <v>54</v>
      </c>
      <c r="M57" s="51"/>
      <c r="N57" s="51"/>
      <c r="O57" s="51"/>
      <c r="P57" s="51"/>
      <c r="Q57" s="51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109" t="s">
        <v>24</v>
      </c>
      <c r="B58" s="110" t="s">
        <v>181</v>
      </c>
      <c r="C58" s="111" t="s">
        <v>15</v>
      </c>
      <c r="D58" s="111">
        <v>24.0</v>
      </c>
      <c r="E58" s="49"/>
      <c r="F58" s="51"/>
      <c r="G58" s="51"/>
      <c r="H58" s="51"/>
      <c r="I58" s="51"/>
      <c r="J58" s="51"/>
      <c r="K58" s="51"/>
      <c r="L58" s="51"/>
      <c r="M58" s="89" t="s">
        <v>54</v>
      </c>
      <c r="N58" s="89" t="s">
        <v>54</v>
      </c>
      <c r="O58" s="51"/>
      <c r="P58" s="51"/>
      <c r="Q58" s="51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109" t="s">
        <v>24</v>
      </c>
      <c r="B59" s="110" t="s">
        <v>182</v>
      </c>
      <c r="C59" s="111" t="s">
        <v>18</v>
      </c>
      <c r="D59" s="111">
        <v>24.0</v>
      </c>
      <c r="E59" s="49"/>
      <c r="F59" s="51"/>
      <c r="G59" s="51"/>
      <c r="H59" s="51"/>
      <c r="I59" s="51"/>
      <c r="J59" s="51"/>
      <c r="K59" s="51"/>
      <c r="L59" s="51"/>
      <c r="M59" s="51"/>
      <c r="N59" s="51"/>
      <c r="O59" s="94" t="s">
        <v>54</v>
      </c>
      <c r="P59" s="94" t="s">
        <v>54</v>
      </c>
      <c r="Q59" s="51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109" t="s">
        <v>24</v>
      </c>
      <c r="B60" s="110" t="s">
        <v>109</v>
      </c>
      <c r="C60" s="111" t="s">
        <v>18</v>
      </c>
      <c r="D60" s="111">
        <v>40.0</v>
      </c>
      <c r="E60" s="49"/>
      <c r="F60" s="51"/>
      <c r="G60" s="51"/>
      <c r="H60" s="51"/>
      <c r="I60" s="51"/>
      <c r="J60" s="51"/>
      <c r="K60" s="51"/>
      <c r="L60" s="51"/>
      <c r="M60" s="51"/>
      <c r="N60" s="51"/>
      <c r="O60" s="94" t="s">
        <v>54</v>
      </c>
      <c r="P60" s="94" t="s">
        <v>54</v>
      </c>
      <c r="Q60" s="51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41" t="s">
        <v>183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10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113" t="s">
        <v>25</v>
      </c>
      <c r="B63" s="114" t="s">
        <v>66</v>
      </c>
      <c r="C63" s="115" t="s">
        <v>4</v>
      </c>
      <c r="D63" s="115">
        <v>12.0</v>
      </c>
      <c r="E63" s="49"/>
      <c r="F63" s="51"/>
      <c r="G63" s="52" t="s">
        <v>54</v>
      </c>
      <c r="H63" s="52" t="s">
        <v>54</v>
      </c>
      <c r="I63" s="51"/>
      <c r="J63" s="51"/>
      <c r="K63" s="51"/>
      <c r="L63" s="51"/>
      <c r="M63" s="51"/>
      <c r="N63" s="51"/>
      <c r="O63" s="51"/>
      <c r="P63" s="51"/>
      <c r="Q63" s="51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113" t="s">
        <v>25</v>
      </c>
      <c r="B64" s="114" t="s">
        <v>72</v>
      </c>
      <c r="C64" s="115" t="s">
        <v>4</v>
      </c>
      <c r="D64" s="115">
        <v>8.0</v>
      </c>
      <c r="E64" s="49"/>
      <c r="F64" s="51"/>
      <c r="G64" s="52" t="s">
        <v>54</v>
      </c>
      <c r="H64" s="52" t="s">
        <v>54</v>
      </c>
      <c r="I64" s="51"/>
      <c r="J64" s="51"/>
      <c r="K64" s="51"/>
      <c r="L64" s="51"/>
      <c r="M64" s="51"/>
      <c r="N64" s="51"/>
      <c r="O64" s="51"/>
      <c r="P64" s="51"/>
      <c r="Q64" s="51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113" t="s">
        <v>25</v>
      </c>
      <c r="B65" s="114" t="s">
        <v>88</v>
      </c>
      <c r="C65" s="115" t="s">
        <v>11</v>
      </c>
      <c r="D65" s="115">
        <v>12.0</v>
      </c>
      <c r="E65" s="49"/>
      <c r="F65" s="51"/>
      <c r="G65" s="51"/>
      <c r="H65" s="51"/>
      <c r="I65" s="64" t="s">
        <v>54</v>
      </c>
      <c r="J65" s="64" t="s">
        <v>54</v>
      </c>
      <c r="K65" s="51"/>
      <c r="L65" s="51"/>
      <c r="M65" s="51"/>
      <c r="N65" s="51"/>
      <c r="O65" s="51"/>
      <c r="P65" s="51"/>
      <c r="Q65" s="51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113" t="s">
        <v>25</v>
      </c>
      <c r="B66" s="114" t="s">
        <v>94</v>
      </c>
      <c r="C66" s="115" t="s">
        <v>11</v>
      </c>
      <c r="D66" s="115">
        <v>8.0</v>
      </c>
      <c r="E66" s="49"/>
      <c r="F66" s="51"/>
      <c r="G66" s="51"/>
      <c r="H66" s="51"/>
      <c r="I66" s="64" t="s">
        <v>54</v>
      </c>
      <c r="J66" s="64" t="s">
        <v>54</v>
      </c>
      <c r="K66" s="51"/>
      <c r="L66" s="51"/>
      <c r="M66" s="51"/>
      <c r="N66" s="51"/>
      <c r="O66" s="51"/>
      <c r="P66" s="51"/>
      <c r="Q66" s="51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113" t="s">
        <v>25</v>
      </c>
      <c r="B67" s="114" t="s">
        <v>104</v>
      </c>
      <c r="C67" s="115" t="s">
        <v>11</v>
      </c>
      <c r="D67" s="115">
        <v>16.0</v>
      </c>
      <c r="E67" s="49"/>
      <c r="F67" s="51"/>
      <c r="G67" s="51"/>
      <c r="H67" s="51"/>
      <c r="I67" s="64" t="s">
        <v>54</v>
      </c>
      <c r="J67" s="64" t="s">
        <v>54</v>
      </c>
      <c r="K67" s="51"/>
      <c r="L67" s="51"/>
      <c r="M67" s="51"/>
      <c r="N67" s="51"/>
      <c r="O67" s="51"/>
      <c r="P67" s="51"/>
      <c r="Q67" s="51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113" t="s">
        <v>25</v>
      </c>
      <c r="B68" s="114" t="s">
        <v>106</v>
      </c>
      <c r="C68" s="115" t="s">
        <v>11</v>
      </c>
      <c r="D68" s="115">
        <v>16.0</v>
      </c>
      <c r="E68" s="49"/>
      <c r="F68" s="51"/>
      <c r="G68" s="51"/>
      <c r="H68" s="51"/>
      <c r="I68" s="64" t="s">
        <v>54</v>
      </c>
      <c r="J68" s="64" t="s">
        <v>54</v>
      </c>
      <c r="K68" s="51"/>
      <c r="L68" s="51"/>
      <c r="M68" s="51"/>
      <c r="N68" s="51"/>
      <c r="O68" s="51"/>
      <c r="P68" s="51"/>
      <c r="Q68" s="51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113" t="s">
        <v>25</v>
      </c>
      <c r="B69" s="114" t="s">
        <v>115</v>
      </c>
      <c r="C69" s="115" t="s">
        <v>11</v>
      </c>
      <c r="D69" s="115">
        <v>8.0</v>
      </c>
      <c r="E69" s="49"/>
      <c r="F69" s="51"/>
      <c r="G69" s="51"/>
      <c r="H69" s="51"/>
      <c r="I69" s="64" t="s">
        <v>54</v>
      </c>
      <c r="J69" s="64" t="s">
        <v>54</v>
      </c>
      <c r="K69" s="51"/>
      <c r="L69" s="51"/>
      <c r="M69" s="51"/>
      <c r="N69" s="51"/>
      <c r="O69" s="51"/>
      <c r="P69" s="51"/>
      <c r="Q69" s="51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113" t="s">
        <v>25</v>
      </c>
      <c r="B70" s="114" t="s">
        <v>186</v>
      </c>
      <c r="C70" s="115" t="s">
        <v>13</v>
      </c>
      <c r="D70" s="115">
        <v>20.0</v>
      </c>
      <c r="E70" s="49"/>
      <c r="F70" s="51"/>
      <c r="G70" s="51"/>
      <c r="H70" s="51"/>
      <c r="I70" s="51"/>
      <c r="J70" s="51"/>
      <c r="K70" s="75" t="s">
        <v>54</v>
      </c>
      <c r="L70" s="75" t="s">
        <v>54</v>
      </c>
      <c r="M70" s="51"/>
      <c r="N70" s="51"/>
      <c r="O70" s="51"/>
      <c r="P70" s="51"/>
      <c r="Q70" s="51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113" t="s">
        <v>25</v>
      </c>
      <c r="B71" s="114" t="s">
        <v>188</v>
      </c>
      <c r="C71" s="115" t="s">
        <v>13</v>
      </c>
      <c r="D71" s="115">
        <v>16.0</v>
      </c>
      <c r="E71" s="49"/>
      <c r="F71" s="51"/>
      <c r="G71" s="51"/>
      <c r="H71" s="51"/>
      <c r="I71" s="51"/>
      <c r="J71" s="51"/>
      <c r="K71" s="75" t="s">
        <v>54</v>
      </c>
      <c r="L71" s="75" t="s">
        <v>54</v>
      </c>
      <c r="M71" s="51"/>
      <c r="N71" s="51"/>
      <c r="O71" s="51"/>
      <c r="P71" s="51"/>
      <c r="Q71" s="51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113" t="s">
        <v>25</v>
      </c>
      <c r="B72" s="114" t="s">
        <v>189</v>
      </c>
      <c r="C72" s="115" t="s">
        <v>13</v>
      </c>
      <c r="D72" s="115">
        <v>6.0</v>
      </c>
      <c r="E72" s="49"/>
      <c r="F72" s="51"/>
      <c r="G72" s="51"/>
      <c r="H72" s="51"/>
      <c r="I72" s="51"/>
      <c r="J72" s="51"/>
      <c r="K72" s="75" t="s">
        <v>54</v>
      </c>
      <c r="L72" s="75" t="s">
        <v>54</v>
      </c>
      <c r="M72" s="51"/>
      <c r="N72" s="51"/>
      <c r="O72" s="51"/>
      <c r="P72" s="51"/>
      <c r="Q72" s="51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113" t="s">
        <v>25</v>
      </c>
      <c r="B73" s="114" t="s">
        <v>143</v>
      </c>
      <c r="C73" s="115" t="s">
        <v>13</v>
      </c>
      <c r="D73" s="115">
        <v>6.0</v>
      </c>
      <c r="E73" s="49"/>
      <c r="F73" s="51"/>
      <c r="G73" s="51"/>
      <c r="H73" s="51"/>
      <c r="I73" s="51"/>
      <c r="J73" s="51"/>
      <c r="K73" s="75" t="s">
        <v>54</v>
      </c>
      <c r="L73" s="75" t="s">
        <v>54</v>
      </c>
      <c r="M73" s="51"/>
      <c r="N73" s="51"/>
      <c r="O73" s="51"/>
      <c r="P73" s="51"/>
      <c r="Q73" s="51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113" t="s">
        <v>25</v>
      </c>
      <c r="B74" s="114" t="s">
        <v>190</v>
      </c>
      <c r="C74" s="115" t="s">
        <v>13</v>
      </c>
      <c r="D74" s="115">
        <v>12.0</v>
      </c>
      <c r="E74" s="49"/>
      <c r="F74" s="51"/>
      <c r="G74" s="51"/>
      <c r="H74" s="51"/>
      <c r="I74" s="51"/>
      <c r="J74" s="51"/>
      <c r="K74" s="75" t="s">
        <v>54</v>
      </c>
      <c r="L74" s="75" t="s">
        <v>54</v>
      </c>
      <c r="M74" s="51"/>
      <c r="N74" s="51"/>
      <c r="O74" s="51"/>
      <c r="P74" s="51"/>
      <c r="Q74" s="51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113" t="s">
        <v>25</v>
      </c>
      <c r="B75" s="114" t="s">
        <v>175</v>
      </c>
      <c r="C75" s="115" t="s">
        <v>15</v>
      </c>
      <c r="D75" s="115">
        <v>8.0</v>
      </c>
      <c r="E75" s="49"/>
      <c r="F75" s="51"/>
      <c r="G75" s="51"/>
      <c r="H75" s="51"/>
      <c r="I75" s="51"/>
      <c r="J75" s="51"/>
      <c r="K75" s="51"/>
      <c r="L75" s="51"/>
      <c r="M75" s="89" t="s">
        <v>54</v>
      </c>
      <c r="N75" s="89" t="s">
        <v>54</v>
      </c>
      <c r="O75" s="51"/>
      <c r="P75" s="51"/>
      <c r="Q75" s="51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113" t="s">
        <v>25</v>
      </c>
      <c r="B76" s="114" t="s">
        <v>168</v>
      </c>
      <c r="C76" s="115" t="s">
        <v>15</v>
      </c>
      <c r="D76" s="115">
        <v>12.0</v>
      </c>
      <c r="E76" s="49"/>
      <c r="F76" s="51"/>
      <c r="G76" s="51"/>
      <c r="H76" s="51"/>
      <c r="I76" s="51"/>
      <c r="J76" s="51"/>
      <c r="K76" s="51"/>
      <c r="L76" s="51"/>
      <c r="M76" s="89" t="s">
        <v>54</v>
      </c>
      <c r="N76" s="89" t="s">
        <v>54</v>
      </c>
      <c r="O76" s="51"/>
      <c r="P76" s="51"/>
      <c r="Q76" s="51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113" t="s">
        <v>25</v>
      </c>
      <c r="B77" s="114" t="s">
        <v>191</v>
      </c>
      <c r="C77" s="115" t="s">
        <v>15</v>
      </c>
      <c r="D77" s="115">
        <v>10.0</v>
      </c>
      <c r="E77" s="49"/>
      <c r="F77" s="51"/>
      <c r="G77" s="51"/>
      <c r="H77" s="51"/>
      <c r="I77" s="51"/>
      <c r="J77" s="51"/>
      <c r="K77" s="51"/>
      <c r="L77" s="51"/>
      <c r="M77" s="89" t="s">
        <v>54</v>
      </c>
      <c r="N77" s="89" t="s">
        <v>54</v>
      </c>
      <c r="O77" s="51"/>
      <c r="P77" s="51"/>
      <c r="Q77" s="51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113" t="s">
        <v>25</v>
      </c>
      <c r="B78" s="114" t="s">
        <v>162</v>
      </c>
      <c r="C78" s="115" t="s">
        <v>18</v>
      </c>
      <c r="D78" s="115">
        <v>16.0</v>
      </c>
      <c r="E78" s="49"/>
      <c r="F78" s="51"/>
      <c r="G78" s="51"/>
      <c r="H78" s="51"/>
      <c r="I78" s="51"/>
      <c r="J78" s="51"/>
      <c r="K78" s="51"/>
      <c r="L78" s="51"/>
      <c r="M78" s="51"/>
      <c r="N78" s="51"/>
      <c r="O78" s="94" t="s">
        <v>54</v>
      </c>
      <c r="P78" s="94" t="s">
        <v>54</v>
      </c>
      <c r="Q78" s="51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113" t="s">
        <v>25</v>
      </c>
      <c r="B79" s="114" t="s">
        <v>192</v>
      </c>
      <c r="C79" s="115" t="s">
        <v>18</v>
      </c>
      <c r="D79" s="115">
        <v>12.0</v>
      </c>
      <c r="E79" s="49"/>
      <c r="F79" s="51"/>
      <c r="G79" s="51"/>
      <c r="H79" s="51"/>
      <c r="I79" s="51"/>
      <c r="J79" s="51"/>
      <c r="K79" s="51"/>
      <c r="L79" s="51"/>
      <c r="M79" s="51"/>
      <c r="N79" s="51"/>
      <c r="O79" s="94" t="s">
        <v>54</v>
      </c>
      <c r="P79" s="94" t="s">
        <v>54</v>
      </c>
      <c r="Q79" s="51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113" t="s">
        <v>25</v>
      </c>
      <c r="B80" s="114" t="s">
        <v>193</v>
      </c>
      <c r="C80" s="115" t="s">
        <v>18</v>
      </c>
      <c r="D80" s="115">
        <v>20.0</v>
      </c>
      <c r="E80" s="49"/>
      <c r="F80" s="51"/>
      <c r="G80" s="51"/>
      <c r="H80" s="51"/>
      <c r="I80" s="51"/>
      <c r="J80" s="51"/>
      <c r="K80" s="51"/>
      <c r="L80" s="51"/>
      <c r="M80" s="51"/>
      <c r="N80" s="51"/>
      <c r="O80" s="94" t="s">
        <v>54</v>
      </c>
      <c r="P80" s="94" t="s">
        <v>54</v>
      </c>
      <c r="Q80" s="51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113" t="s">
        <v>25</v>
      </c>
      <c r="B81" s="114" t="s">
        <v>109</v>
      </c>
      <c r="C81" s="115" t="s">
        <v>18</v>
      </c>
      <c r="D81" s="115">
        <v>40.0</v>
      </c>
      <c r="E81" s="49"/>
      <c r="F81" s="51"/>
      <c r="G81" s="51"/>
      <c r="H81" s="51"/>
      <c r="I81" s="51"/>
      <c r="J81" s="51"/>
      <c r="K81" s="51"/>
      <c r="L81" s="51"/>
      <c r="M81" s="51"/>
      <c r="N81" s="51"/>
      <c r="O81" s="94" t="s">
        <v>54</v>
      </c>
      <c r="P81" s="94" t="s">
        <v>54</v>
      </c>
      <c r="Q81" s="51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41" t="s">
        <v>194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10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117" t="s">
        <v>26</v>
      </c>
      <c r="B84" s="118" t="s">
        <v>69</v>
      </c>
      <c r="C84" s="119" t="s">
        <v>4</v>
      </c>
      <c r="D84" s="119">
        <v>12.0</v>
      </c>
      <c r="E84" s="49"/>
      <c r="F84" s="51"/>
      <c r="G84" s="52" t="s">
        <v>54</v>
      </c>
      <c r="H84" s="52" t="s">
        <v>54</v>
      </c>
      <c r="I84" s="51"/>
      <c r="J84" s="51"/>
      <c r="K84" s="51"/>
      <c r="L84" s="51"/>
      <c r="M84" s="51"/>
      <c r="N84" s="51"/>
      <c r="O84" s="51"/>
      <c r="P84" s="51"/>
      <c r="Q84" s="51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117" t="s">
        <v>26</v>
      </c>
      <c r="B85" s="118" t="s">
        <v>72</v>
      </c>
      <c r="C85" s="119" t="s">
        <v>4</v>
      </c>
      <c r="D85" s="119">
        <v>8.0</v>
      </c>
      <c r="E85" s="49"/>
      <c r="F85" s="51"/>
      <c r="G85" s="52" t="s">
        <v>54</v>
      </c>
      <c r="H85" s="52" t="s">
        <v>54</v>
      </c>
      <c r="I85" s="51"/>
      <c r="J85" s="51"/>
      <c r="K85" s="51"/>
      <c r="L85" s="51"/>
      <c r="M85" s="51"/>
      <c r="N85" s="51"/>
      <c r="O85" s="51"/>
      <c r="P85" s="51"/>
      <c r="Q85" s="51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117" t="s">
        <v>26</v>
      </c>
      <c r="B86" s="118" t="s">
        <v>74</v>
      </c>
      <c r="C86" s="119" t="s">
        <v>4</v>
      </c>
      <c r="D86" s="119">
        <v>16.0</v>
      </c>
      <c r="E86" s="49"/>
      <c r="F86" s="51"/>
      <c r="G86" s="52" t="s">
        <v>54</v>
      </c>
      <c r="H86" s="52" t="s">
        <v>54</v>
      </c>
      <c r="I86" s="51"/>
      <c r="J86" s="51"/>
      <c r="K86" s="51"/>
      <c r="L86" s="51"/>
      <c r="M86" s="51"/>
      <c r="N86" s="51"/>
      <c r="O86" s="51"/>
      <c r="P86" s="51"/>
      <c r="Q86" s="51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117" t="s">
        <v>26</v>
      </c>
      <c r="B87" s="118" t="s">
        <v>96</v>
      </c>
      <c r="C87" s="119" t="s">
        <v>11</v>
      </c>
      <c r="D87" s="119">
        <v>16.0</v>
      </c>
      <c r="E87" s="49"/>
      <c r="F87" s="51"/>
      <c r="G87" s="51"/>
      <c r="H87" s="51"/>
      <c r="I87" s="64" t="s">
        <v>54</v>
      </c>
      <c r="J87" s="64" t="s">
        <v>54</v>
      </c>
      <c r="K87" s="51"/>
      <c r="L87" s="51"/>
      <c r="M87" s="51"/>
      <c r="N87" s="51"/>
      <c r="O87" s="51"/>
      <c r="P87" s="51"/>
      <c r="Q87" s="51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117" t="s">
        <v>26</v>
      </c>
      <c r="B88" s="118" t="s">
        <v>108</v>
      </c>
      <c r="C88" s="119" t="s">
        <v>11</v>
      </c>
      <c r="D88" s="119">
        <v>28.0</v>
      </c>
      <c r="E88" s="49"/>
      <c r="F88" s="51"/>
      <c r="G88" s="51"/>
      <c r="H88" s="51"/>
      <c r="I88" s="64" t="s">
        <v>54</v>
      </c>
      <c r="J88" s="64" t="s">
        <v>54</v>
      </c>
      <c r="K88" s="51"/>
      <c r="L88" s="51"/>
      <c r="M88" s="51"/>
      <c r="N88" s="51"/>
      <c r="O88" s="51"/>
      <c r="P88" s="51"/>
      <c r="Q88" s="51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117" t="s">
        <v>26</v>
      </c>
      <c r="B89" s="118" t="s">
        <v>117</v>
      </c>
      <c r="C89" s="119" t="s">
        <v>11</v>
      </c>
      <c r="D89" s="119">
        <v>6.0</v>
      </c>
      <c r="E89" s="49"/>
      <c r="F89" s="51"/>
      <c r="G89" s="51"/>
      <c r="H89" s="51"/>
      <c r="I89" s="64" t="s">
        <v>54</v>
      </c>
      <c r="J89" s="64" t="s">
        <v>54</v>
      </c>
      <c r="K89" s="51"/>
      <c r="L89" s="51"/>
      <c r="M89" s="51"/>
      <c r="N89" s="51"/>
      <c r="O89" s="51"/>
      <c r="P89" s="51"/>
      <c r="Q89" s="51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117" t="s">
        <v>26</v>
      </c>
      <c r="B90" s="118" t="s">
        <v>195</v>
      </c>
      <c r="C90" s="119" t="s">
        <v>13</v>
      </c>
      <c r="D90" s="119">
        <v>24.0</v>
      </c>
      <c r="E90" s="49"/>
      <c r="F90" s="51"/>
      <c r="G90" s="51"/>
      <c r="H90" s="51"/>
      <c r="I90" s="51"/>
      <c r="J90" s="51"/>
      <c r="K90" s="75" t="s">
        <v>54</v>
      </c>
      <c r="L90" s="75" t="s">
        <v>54</v>
      </c>
      <c r="M90" s="51"/>
      <c r="N90" s="51"/>
      <c r="O90" s="51"/>
      <c r="P90" s="51"/>
      <c r="Q90" s="51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117" t="s">
        <v>26</v>
      </c>
      <c r="B91" s="118" t="s">
        <v>146</v>
      </c>
      <c r="C91" s="119" t="s">
        <v>13</v>
      </c>
      <c r="D91" s="119">
        <v>16.0</v>
      </c>
      <c r="E91" s="49"/>
      <c r="F91" s="51"/>
      <c r="G91" s="51"/>
      <c r="H91" s="51"/>
      <c r="I91" s="51"/>
      <c r="J91" s="51"/>
      <c r="K91" s="75" t="s">
        <v>54</v>
      </c>
      <c r="L91" s="75" t="s">
        <v>54</v>
      </c>
      <c r="M91" s="51"/>
      <c r="N91" s="51"/>
      <c r="O91" s="51"/>
      <c r="P91" s="51"/>
      <c r="Q91" s="51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117" t="s">
        <v>26</v>
      </c>
      <c r="B92" s="118" t="s">
        <v>150</v>
      </c>
      <c r="C92" s="119" t="s">
        <v>13</v>
      </c>
      <c r="D92" s="119">
        <v>20.0</v>
      </c>
      <c r="E92" s="49"/>
      <c r="F92" s="51"/>
      <c r="G92" s="51"/>
      <c r="H92" s="51"/>
      <c r="I92" s="51"/>
      <c r="J92" s="51"/>
      <c r="K92" s="75" t="s">
        <v>54</v>
      </c>
      <c r="L92" s="75" t="s">
        <v>54</v>
      </c>
      <c r="M92" s="51"/>
      <c r="N92" s="51"/>
      <c r="O92" s="51"/>
      <c r="P92" s="51"/>
      <c r="Q92" s="51"/>
      <c r="R92" s="9"/>
      <c r="S92" s="9"/>
      <c r="T92" s="9"/>
      <c r="U92" s="9"/>
      <c r="V92" s="9"/>
      <c r="W92" s="9"/>
      <c r="X92" s="9"/>
      <c r="Y92" s="9"/>
    </row>
    <row r="93" ht="15.75" customHeight="1">
      <c r="A93" s="117" t="s">
        <v>26</v>
      </c>
      <c r="B93" s="118" t="s">
        <v>196</v>
      </c>
      <c r="C93" s="119" t="s">
        <v>15</v>
      </c>
      <c r="D93" s="119">
        <v>6.0</v>
      </c>
      <c r="E93" s="49"/>
      <c r="F93" s="51"/>
      <c r="G93" s="51"/>
      <c r="H93" s="51"/>
      <c r="I93" s="51"/>
      <c r="J93" s="51"/>
      <c r="K93" s="51"/>
      <c r="L93" s="51"/>
      <c r="M93" s="89" t="s">
        <v>54</v>
      </c>
      <c r="N93" s="89" t="s">
        <v>54</v>
      </c>
      <c r="O93" s="51"/>
      <c r="P93" s="51"/>
      <c r="Q93" s="51"/>
      <c r="R93" s="9"/>
      <c r="S93" s="9"/>
      <c r="T93" s="9"/>
      <c r="U93" s="9"/>
      <c r="V93" s="9"/>
      <c r="W93" s="9"/>
      <c r="X93" s="9"/>
      <c r="Y93" s="9"/>
    </row>
    <row r="94" ht="15.75" customHeight="1">
      <c r="A94" s="117" t="s">
        <v>26</v>
      </c>
      <c r="B94" s="118" t="s">
        <v>197</v>
      </c>
      <c r="C94" s="119" t="s">
        <v>15</v>
      </c>
      <c r="D94" s="119">
        <v>10.0</v>
      </c>
      <c r="E94" s="49"/>
      <c r="F94" s="51"/>
      <c r="G94" s="51"/>
      <c r="H94" s="51"/>
      <c r="I94" s="51"/>
      <c r="J94" s="51"/>
      <c r="K94" s="51"/>
      <c r="L94" s="51"/>
      <c r="M94" s="89" t="s">
        <v>54</v>
      </c>
      <c r="N94" s="89" t="s">
        <v>54</v>
      </c>
      <c r="O94" s="51"/>
      <c r="P94" s="51"/>
      <c r="Q94" s="51"/>
      <c r="R94" s="9"/>
      <c r="S94" s="9"/>
      <c r="T94" s="9"/>
      <c r="U94" s="9"/>
      <c r="V94" s="9"/>
      <c r="W94" s="9"/>
      <c r="X94" s="9"/>
      <c r="Y94" s="9"/>
    </row>
    <row r="95" ht="15.75" customHeight="1">
      <c r="A95" s="117" t="s">
        <v>26</v>
      </c>
      <c r="B95" s="118" t="s">
        <v>176</v>
      </c>
      <c r="C95" s="119" t="s">
        <v>15</v>
      </c>
      <c r="D95" s="119">
        <v>8.0</v>
      </c>
      <c r="E95" s="49"/>
      <c r="F95" s="51"/>
      <c r="G95" s="51"/>
      <c r="H95" s="51"/>
      <c r="I95" s="51"/>
      <c r="J95" s="51"/>
      <c r="K95" s="51"/>
      <c r="L95" s="51"/>
      <c r="M95" s="89" t="s">
        <v>54</v>
      </c>
      <c r="N95" s="89" t="s">
        <v>54</v>
      </c>
      <c r="O95" s="51"/>
      <c r="P95" s="51"/>
      <c r="Q95" s="51"/>
      <c r="R95" s="9"/>
      <c r="S95" s="9"/>
      <c r="T95" s="9"/>
      <c r="U95" s="9"/>
      <c r="V95" s="9"/>
      <c r="W95" s="9"/>
      <c r="X95" s="9"/>
      <c r="Y95" s="9"/>
    </row>
    <row r="96" ht="15.75" customHeight="1">
      <c r="A96" s="117" t="s">
        <v>26</v>
      </c>
      <c r="B96" s="118" t="s">
        <v>169</v>
      </c>
      <c r="C96" s="119" t="s">
        <v>15</v>
      </c>
      <c r="D96" s="119">
        <v>12.0</v>
      </c>
      <c r="E96" s="49"/>
      <c r="F96" s="51"/>
      <c r="G96" s="51"/>
      <c r="H96" s="51"/>
      <c r="I96" s="51"/>
      <c r="J96" s="51"/>
      <c r="K96" s="51"/>
      <c r="L96" s="51"/>
      <c r="M96" s="89" t="s">
        <v>54</v>
      </c>
      <c r="N96" s="89" t="s">
        <v>54</v>
      </c>
      <c r="O96" s="51"/>
      <c r="P96" s="51"/>
      <c r="Q96" s="51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117" t="s">
        <v>26</v>
      </c>
      <c r="B97" s="118" t="s">
        <v>162</v>
      </c>
      <c r="C97" s="119" t="s">
        <v>18</v>
      </c>
      <c r="D97" s="119">
        <v>16.0</v>
      </c>
      <c r="E97" s="49"/>
      <c r="F97" s="51"/>
      <c r="G97" s="51"/>
      <c r="H97" s="51"/>
      <c r="I97" s="51"/>
      <c r="J97" s="51"/>
      <c r="K97" s="51"/>
      <c r="L97" s="51"/>
      <c r="M97" s="51"/>
      <c r="N97" s="51"/>
      <c r="O97" s="94" t="s">
        <v>54</v>
      </c>
      <c r="P97" s="94" t="s">
        <v>54</v>
      </c>
      <c r="Q97" s="51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117" t="s">
        <v>26</v>
      </c>
      <c r="B98" s="118" t="s">
        <v>192</v>
      </c>
      <c r="C98" s="119" t="s">
        <v>18</v>
      </c>
      <c r="D98" s="119">
        <v>12.0</v>
      </c>
      <c r="E98" s="49"/>
      <c r="F98" s="51"/>
      <c r="G98" s="51"/>
      <c r="H98" s="51"/>
      <c r="I98" s="51"/>
      <c r="J98" s="51"/>
      <c r="K98" s="51"/>
      <c r="L98" s="51"/>
      <c r="M98" s="51"/>
      <c r="N98" s="51"/>
      <c r="O98" s="94" t="s">
        <v>54</v>
      </c>
      <c r="P98" s="94" t="s">
        <v>54</v>
      </c>
      <c r="Q98" s="51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117" t="s">
        <v>26</v>
      </c>
      <c r="B99" s="118" t="s">
        <v>193</v>
      </c>
      <c r="C99" s="119" t="s">
        <v>18</v>
      </c>
      <c r="D99" s="119">
        <v>20.0</v>
      </c>
      <c r="E99" s="49"/>
      <c r="F99" s="51"/>
      <c r="G99" s="51"/>
      <c r="H99" s="51"/>
      <c r="I99" s="51"/>
      <c r="J99" s="51"/>
      <c r="K99" s="51"/>
      <c r="L99" s="51"/>
      <c r="M99" s="51"/>
      <c r="N99" s="51"/>
      <c r="O99" s="94" t="s">
        <v>54</v>
      </c>
      <c r="P99" s="94" t="s">
        <v>54</v>
      </c>
      <c r="Q99" s="51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117" t="s">
        <v>26</v>
      </c>
      <c r="B100" s="118" t="s">
        <v>109</v>
      </c>
      <c r="C100" s="119" t="s">
        <v>18</v>
      </c>
      <c r="D100" s="119">
        <v>40.0</v>
      </c>
      <c r="E100" s="49"/>
      <c r="F100" s="51"/>
      <c r="G100" s="51"/>
      <c r="H100" s="51"/>
      <c r="I100" s="51"/>
      <c r="J100" s="51"/>
      <c r="K100" s="51"/>
      <c r="L100" s="51"/>
      <c r="M100" s="51"/>
      <c r="N100" s="51"/>
      <c r="O100" s="94" t="s">
        <v>54</v>
      </c>
      <c r="P100" s="94" t="s">
        <v>54</v>
      </c>
      <c r="Q100" s="51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120" t="s">
        <v>200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10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96" t="s">
        <v>201</v>
      </c>
      <c r="B104" s="121" t="s">
        <v>202</v>
      </c>
      <c r="C104" s="122" t="s">
        <v>203</v>
      </c>
      <c r="D104" s="9"/>
      <c r="E104" s="9"/>
      <c r="F104" s="9"/>
      <c r="G104" s="9"/>
      <c r="H104" s="124" t="s">
        <v>204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96" t="s">
        <v>201</v>
      </c>
      <c r="B105" s="121" t="s">
        <v>205</v>
      </c>
      <c r="C105" s="122" t="s">
        <v>206</v>
      </c>
      <c r="D105" s="9"/>
      <c r="E105" s="9"/>
      <c r="F105" s="9"/>
      <c r="G105" s="9"/>
      <c r="H105" s="9"/>
      <c r="I105" s="9"/>
      <c r="J105" s="124" t="s">
        <v>204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96" t="s">
        <v>201</v>
      </c>
      <c r="B106" s="121" t="s">
        <v>207</v>
      </c>
      <c r="C106" s="122" t="s">
        <v>208</v>
      </c>
      <c r="D106" s="9"/>
      <c r="E106" s="9"/>
      <c r="F106" s="9"/>
      <c r="G106" s="9"/>
      <c r="H106" s="9"/>
      <c r="I106" s="9"/>
      <c r="J106" s="9"/>
      <c r="K106" s="9"/>
      <c r="L106" s="124" t="s">
        <v>204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96" t="s">
        <v>201</v>
      </c>
      <c r="B107" s="121" t="s">
        <v>209</v>
      </c>
      <c r="C107" s="122" t="s">
        <v>210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24" t="s">
        <v>204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96" t="s">
        <v>201</v>
      </c>
      <c r="B108" s="121" t="s">
        <v>211</v>
      </c>
      <c r="C108" s="122" t="s">
        <v>212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24" t="s">
        <v>204</v>
      </c>
      <c r="Q108" s="9"/>
      <c r="R108" s="9"/>
      <c r="S108" s="9"/>
      <c r="T108" s="9"/>
      <c r="U108" s="9"/>
      <c r="V108" s="9"/>
      <c r="W108" s="9"/>
      <c r="X108" s="9"/>
      <c r="Y108" s="9"/>
    </row>
    <row r="109" ht="15.75" customHeight="1">
      <c r="A109" s="96" t="s">
        <v>201</v>
      </c>
      <c r="B109" s="121" t="s">
        <v>213</v>
      </c>
      <c r="C109" s="122" t="s">
        <v>214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24" t="s">
        <v>204</v>
      </c>
      <c r="Q109" s="9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96" t="s">
        <v>201</v>
      </c>
      <c r="B110" s="121" t="s">
        <v>215</v>
      </c>
      <c r="C110" s="122" t="s">
        <v>216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24" t="s">
        <v>204</v>
      </c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B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B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B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B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B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B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B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B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B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B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B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B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B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B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B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B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B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B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B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B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B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B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B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B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B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B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B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B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B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B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B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B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B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B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B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B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B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B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B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B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B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B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B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B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B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B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B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B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B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B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B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B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B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B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B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B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B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B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B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B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B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B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B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B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B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B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B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B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B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B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B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B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B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B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B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B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B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B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B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B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B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B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B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B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B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B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B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B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B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B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B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B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B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B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B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B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B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B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B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B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B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B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B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B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B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B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B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B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B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B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B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B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B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B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B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B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B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B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B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B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B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B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B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B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B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B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B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B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B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B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B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B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B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B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B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B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B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B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B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B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B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B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B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B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B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B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B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B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B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B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B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B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B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B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B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B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B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B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B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B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B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B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B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B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B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B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B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B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B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B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B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B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B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B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B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B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B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B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B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B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B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B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B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B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B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B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B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B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B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B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B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B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B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B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B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B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B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B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B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B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B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B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B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B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B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B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B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B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B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B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B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B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B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B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B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B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B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B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B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B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B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B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B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B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B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B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B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B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B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B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B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B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B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B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B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B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B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B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B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B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B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B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B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B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B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B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B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B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B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B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B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B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B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B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B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B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B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B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B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B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B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B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B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B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B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B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B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B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B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B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B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B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B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B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B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B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B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B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B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B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B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B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B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B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B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B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B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B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B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B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B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B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B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B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B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B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B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B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B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B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B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B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B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B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B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B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B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B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B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B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B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B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B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B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B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B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B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B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B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B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B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B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B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B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B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B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B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B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B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B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B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B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B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B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B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B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B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B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B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B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B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B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B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B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B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B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B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B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B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B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B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B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B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B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B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B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B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B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B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B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B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B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B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B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B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B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B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B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B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B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B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B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B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B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B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B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B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B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B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B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B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B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B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B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B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B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B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B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B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B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B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B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B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B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B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B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B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B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B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B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B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B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B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B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B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B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B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B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B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B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B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B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B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B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B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B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B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B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B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B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B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B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B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B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B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B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B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B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B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B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B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B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B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B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B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B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B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B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B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B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B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B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B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B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B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B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B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B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B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B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B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B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B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B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B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B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B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B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B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B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B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B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B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B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B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B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B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B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B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B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B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B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B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B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B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B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B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B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B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B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B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B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B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B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B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B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B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B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B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B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B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B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B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B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B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B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B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B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B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B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B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B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B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B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B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B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B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B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B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B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B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B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B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B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B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B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B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B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B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B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B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B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B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B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B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B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B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B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B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B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B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B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B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B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B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B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B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B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B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B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B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B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B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B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B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B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B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B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B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B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B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B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B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B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B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B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B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B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B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B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B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B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B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B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B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B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B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B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B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B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B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B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B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B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B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B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B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B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B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B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B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B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B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B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B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B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B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B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B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B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B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B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B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B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B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B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B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B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B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B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B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B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B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B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B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B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B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B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B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B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B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B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B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B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B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B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B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B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B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B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B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B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B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B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B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B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B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B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B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B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B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B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B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B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B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B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B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B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B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B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B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B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B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B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B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B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B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B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B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B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B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B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B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B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B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B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B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B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B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B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B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B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B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B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B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B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B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B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B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B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B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B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B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B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B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B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B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B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B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B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B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B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B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B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B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B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B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B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B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ht="15.75" customHeight="1">
      <c r="B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12">
    <mergeCell ref="A62:Q62"/>
    <mergeCell ref="A83:Q83"/>
    <mergeCell ref="A103:Q103"/>
    <mergeCell ref="O3:P3"/>
    <mergeCell ref="A5:Q5"/>
    <mergeCell ref="G3:H3"/>
    <mergeCell ref="I3:J3"/>
    <mergeCell ref="K3:L3"/>
    <mergeCell ref="M3:N3"/>
    <mergeCell ref="A27:Q27"/>
    <mergeCell ref="A50:Q50"/>
    <mergeCell ref="A1:Q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6" width="14.43"/>
  </cols>
  <sheetData>
    <row r="1">
      <c r="A1" s="4" t="s">
        <v>219</v>
      </c>
      <c r="B1" s="6"/>
      <c r="C1" s="6"/>
      <c r="D1" s="6"/>
      <c r="E1" s="6"/>
      <c r="F1" s="6"/>
      <c r="G1" s="6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2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27" t="s">
        <v>220</v>
      </c>
      <c r="B4" s="127" t="s">
        <v>221</v>
      </c>
      <c r="C4" s="127" t="s">
        <v>222</v>
      </c>
      <c r="D4" s="127" t="s">
        <v>223</v>
      </c>
      <c r="E4" s="127" t="s">
        <v>224</v>
      </c>
      <c r="F4" s="127" t="s">
        <v>225</v>
      </c>
      <c r="G4" s="127" t="s">
        <v>226</v>
      </c>
      <c r="H4" s="127" t="s">
        <v>227</v>
      </c>
      <c r="I4" s="127" t="s">
        <v>228</v>
      </c>
      <c r="J4" s="127" t="s">
        <v>229</v>
      </c>
      <c r="K4" s="127" t="s">
        <v>230</v>
      </c>
      <c r="L4" s="127" t="s">
        <v>231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28" t="s">
        <v>46</v>
      </c>
      <c r="B5" s="129">
        <v>41.0</v>
      </c>
      <c r="C5" s="130">
        <f>SUMIF(Backlog!$L:$L,"1. Requirements &amp; Research",Backlog!$C:$C)</f>
        <v>44</v>
      </c>
      <c r="D5" s="131">
        <f>SUMIF(Backlog!$L:$L,"1. Requirements &amp; Research",Backlog!$D:$D)</f>
        <v>42</v>
      </c>
      <c r="E5" s="132">
        <f t="shared" ref="E5:E15" si="1">C5-D5</f>
        <v>2</v>
      </c>
      <c r="F5" s="133">
        <f t="shared" ref="F5:F15" si="2">IFERROR(D5/C5,0)</f>
        <v>0.9545454545</v>
      </c>
      <c r="G5" s="129">
        <f t="shared" ref="G5:G14" si="3">B5*0.3</f>
        <v>12.3</v>
      </c>
      <c r="H5" s="129">
        <f t="shared" ref="H5:H14" si="4">B5+G5</f>
        <v>53.3</v>
      </c>
      <c r="I5" s="134" t="s">
        <v>232</v>
      </c>
      <c r="J5" s="129">
        <f t="shared" ref="J5:J14" si="5">D5*20</f>
        <v>840</v>
      </c>
      <c r="K5" s="129">
        <f t="shared" ref="K5:K14" si="6">H5*20</f>
        <v>1066</v>
      </c>
      <c r="L5" s="129">
        <f t="shared" ref="L5:L15" si="7">K5-J5</f>
        <v>226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35" t="s">
        <v>51</v>
      </c>
      <c r="B6" s="136">
        <v>50.0</v>
      </c>
      <c r="C6" s="137">
        <f>SUMIF(Backlog!$L:$L,"2. Design (UX/UI)",Backlog!$C:$C)</f>
        <v>54</v>
      </c>
      <c r="D6" s="138">
        <f>SUMIF(Backlog!$L:$L,"2. Design (UX/UI)",Backlog!$D:$D)</f>
        <v>64</v>
      </c>
      <c r="E6" s="139">
        <f t="shared" si="1"/>
        <v>-10</v>
      </c>
      <c r="F6" s="140">
        <f t="shared" si="2"/>
        <v>1.185185185</v>
      </c>
      <c r="G6" s="136">
        <f t="shared" si="3"/>
        <v>15</v>
      </c>
      <c r="H6" s="136">
        <f t="shared" si="4"/>
        <v>65</v>
      </c>
      <c r="I6" s="141" t="s">
        <v>233</v>
      </c>
      <c r="J6" s="136">
        <f t="shared" si="5"/>
        <v>1280</v>
      </c>
      <c r="K6" s="136">
        <f t="shared" si="6"/>
        <v>1300</v>
      </c>
      <c r="L6" s="136">
        <f t="shared" si="7"/>
        <v>20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28" t="s">
        <v>55</v>
      </c>
      <c r="B7" s="129">
        <v>111.0</v>
      </c>
      <c r="C7" s="130">
        <f>SUMIF(Backlog!$L:$L,"3. Backend Development",Backlog!$C:$C)</f>
        <v>130</v>
      </c>
      <c r="D7" s="131">
        <f>SUMIF(Backlog!$L:$L,"3. Backend Development",Backlog!$D:$D)</f>
        <v>127</v>
      </c>
      <c r="E7" s="132">
        <f t="shared" si="1"/>
        <v>3</v>
      </c>
      <c r="F7" s="133">
        <f t="shared" si="2"/>
        <v>0.9769230769</v>
      </c>
      <c r="G7" s="129">
        <f t="shared" si="3"/>
        <v>33.3</v>
      </c>
      <c r="H7" s="129">
        <f t="shared" si="4"/>
        <v>144.3</v>
      </c>
      <c r="I7" s="134" t="s">
        <v>234</v>
      </c>
      <c r="J7" s="129">
        <f t="shared" si="5"/>
        <v>2540</v>
      </c>
      <c r="K7" s="129">
        <f t="shared" si="6"/>
        <v>2886</v>
      </c>
      <c r="L7" s="129">
        <f t="shared" si="7"/>
        <v>346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35" t="s">
        <v>68</v>
      </c>
      <c r="B8" s="136">
        <v>206.0</v>
      </c>
      <c r="C8" s="137">
        <f>SUMIF(Backlog!$L:$L,"4. Web Frontend",Backlog!$C:$C)</f>
        <v>204</v>
      </c>
      <c r="D8" s="138">
        <f>SUMIF(Backlog!$L:$L,"4. Web Frontend",Backlog!$D:$D)</f>
        <v>204</v>
      </c>
      <c r="E8" s="139">
        <f t="shared" si="1"/>
        <v>0</v>
      </c>
      <c r="F8" s="140">
        <f t="shared" si="2"/>
        <v>1</v>
      </c>
      <c r="G8" s="136">
        <f t="shared" si="3"/>
        <v>61.8</v>
      </c>
      <c r="H8" s="136">
        <f t="shared" si="4"/>
        <v>267.8</v>
      </c>
      <c r="I8" s="141" t="s">
        <v>235</v>
      </c>
      <c r="J8" s="136">
        <f t="shared" si="5"/>
        <v>4080</v>
      </c>
      <c r="K8" s="136">
        <f t="shared" si="6"/>
        <v>5356</v>
      </c>
      <c r="L8" s="136">
        <f t="shared" si="7"/>
        <v>1276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28" t="s">
        <v>70</v>
      </c>
      <c r="B9" s="129">
        <v>146.0</v>
      </c>
      <c r="C9" s="130">
        <f>SUMIF(Backlog!$L:$L,"5. Mobile Development",Backlog!$C:$C)</f>
        <v>160</v>
      </c>
      <c r="D9" s="131">
        <f>SUMIF(Backlog!$L:$L,"5. Mobile Development",Backlog!$D:$D)</f>
        <v>112</v>
      </c>
      <c r="E9" s="132">
        <f t="shared" si="1"/>
        <v>48</v>
      </c>
      <c r="F9" s="133">
        <f t="shared" si="2"/>
        <v>0.7</v>
      </c>
      <c r="G9" s="129">
        <f t="shared" si="3"/>
        <v>43.8</v>
      </c>
      <c r="H9" s="129">
        <f t="shared" si="4"/>
        <v>189.8</v>
      </c>
      <c r="I9" s="134" t="s">
        <v>236</v>
      </c>
      <c r="J9" s="129">
        <f t="shared" si="5"/>
        <v>2240</v>
      </c>
      <c r="K9" s="129">
        <f t="shared" si="6"/>
        <v>3796</v>
      </c>
      <c r="L9" s="129">
        <f t="shared" si="7"/>
        <v>1556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35" t="s">
        <v>65</v>
      </c>
      <c r="B10" s="136">
        <v>175.0</v>
      </c>
      <c r="C10" s="137">
        <f>SUMIF(Backlog!$L:$L,"6. ML / Data Engineering",Backlog!$C:$C)</f>
        <v>190</v>
      </c>
      <c r="D10" s="138">
        <f>SUMIF(Backlog!$L:$L,"6. ML / Data Engineering",Backlog!$D:$D)</f>
        <v>206</v>
      </c>
      <c r="E10" s="139">
        <f t="shared" si="1"/>
        <v>-16</v>
      </c>
      <c r="F10" s="140">
        <f t="shared" si="2"/>
        <v>1.084210526</v>
      </c>
      <c r="G10" s="136">
        <f t="shared" si="3"/>
        <v>52.5</v>
      </c>
      <c r="H10" s="136">
        <f t="shared" si="4"/>
        <v>227.5</v>
      </c>
      <c r="I10" s="141" t="s">
        <v>237</v>
      </c>
      <c r="J10" s="136">
        <f t="shared" si="5"/>
        <v>4120</v>
      </c>
      <c r="K10" s="136">
        <f t="shared" si="6"/>
        <v>4550</v>
      </c>
      <c r="L10" s="136">
        <f t="shared" si="7"/>
        <v>430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128" t="s">
        <v>238</v>
      </c>
      <c r="B11" s="129">
        <v>11.0</v>
      </c>
      <c r="C11" s="130">
        <f>SUMIF(Backlog!$L:$L,"7. Integration",Backlog!$C:$C)</f>
        <v>0</v>
      </c>
      <c r="D11" s="131">
        <f>SUMIF(Backlog!$L:$L,"7. Integration",Backlog!$D:$D)</f>
        <v>0</v>
      </c>
      <c r="E11" s="132">
        <f t="shared" si="1"/>
        <v>0</v>
      </c>
      <c r="F11" s="133">
        <f t="shared" si="2"/>
        <v>0</v>
      </c>
      <c r="G11" s="129">
        <f t="shared" si="3"/>
        <v>3.3</v>
      </c>
      <c r="H11" s="129">
        <f t="shared" si="4"/>
        <v>14.3</v>
      </c>
      <c r="I11" s="134" t="s">
        <v>239</v>
      </c>
      <c r="J11" s="129">
        <f t="shared" si="5"/>
        <v>0</v>
      </c>
      <c r="K11" s="129">
        <f t="shared" si="6"/>
        <v>286</v>
      </c>
      <c r="L11" s="129">
        <f t="shared" si="7"/>
        <v>286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35" t="s">
        <v>157</v>
      </c>
      <c r="B12" s="136">
        <v>72.0</v>
      </c>
      <c r="C12" s="137">
        <f>SUMIF(Backlog!$L:$L,"8. Testing &amp; QA",Backlog!$C:$C)</f>
        <v>74</v>
      </c>
      <c r="D12" s="138">
        <f>SUMIF(Backlog!$L:$L,"8. Testing &amp; QA",Backlog!$D:$D)</f>
        <v>74</v>
      </c>
      <c r="E12" s="139">
        <f t="shared" si="1"/>
        <v>0</v>
      </c>
      <c r="F12" s="140">
        <f t="shared" si="2"/>
        <v>1</v>
      </c>
      <c r="G12" s="136">
        <f t="shared" si="3"/>
        <v>21.6</v>
      </c>
      <c r="H12" s="136">
        <f t="shared" si="4"/>
        <v>93.6</v>
      </c>
      <c r="I12" s="141" t="s">
        <v>240</v>
      </c>
      <c r="J12" s="136">
        <f t="shared" si="5"/>
        <v>1480</v>
      </c>
      <c r="K12" s="136">
        <f t="shared" si="6"/>
        <v>1872</v>
      </c>
      <c r="L12" s="136">
        <f t="shared" si="7"/>
        <v>392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28" t="s">
        <v>61</v>
      </c>
      <c r="B13" s="129">
        <v>31.0</v>
      </c>
      <c r="C13" s="130">
        <f>SUMIF(Backlog!$L:$L,"9. Deployment &amp; DevOps",Backlog!$C:$C)</f>
        <v>34</v>
      </c>
      <c r="D13" s="131">
        <f>SUMIF(Backlog!$L:$L,"9. Deployment &amp; DevOps",Backlog!$D:$D)</f>
        <v>33</v>
      </c>
      <c r="E13" s="132">
        <f t="shared" si="1"/>
        <v>1</v>
      </c>
      <c r="F13" s="133">
        <f t="shared" si="2"/>
        <v>0.9705882353</v>
      </c>
      <c r="G13" s="129">
        <f t="shared" si="3"/>
        <v>9.3</v>
      </c>
      <c r="H13" s="129">
        <f t="shared" si="4"/>
        <v>40.3</v>
      </c>
      <c r="I13" s="134" t="s">
        <v>241</v>
      </c>
      <c r="J13" s="129">
        <f t="shared" si="5"/>
        <v>660</v>
      </c>
      <c r="K13" s="129">
        <f t="shared" si="6"/>
        <v>806</v>
      </c>
      <c r="L13" s="129">
        <f t="shared" si="7"/>
        <v>146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35" t="s">
        <v>57</v>
      </c>
      <c r="B14" s="136">
        <v>109.0</v>
      </c>
      <c r="C14" s="137">
        <f>SUMIF(Backlog!$L:$L,"10. Project Management",Backlog!$C:$C)</f>
        <v>138</v>
      </c>
      <c r="D14" s="138">
        <f>SUMIF(Backlog!$L:$L,"10. Project Management",Backlog!$D:$D)</f>
        <v>136</v>
      </c>
      <c r="E14" s="139">
        <f t="shared" si="1"/>
        <v>2</v>
      </c>
      <c r="F14" s="140">
        <f t="shared" si="2"/>
        <v>0.9855072464</v>
      </c>
      <c r="G14" s="136">
        <f t="shared" si="3"/>
        <v>32.7</v>
      </c>
      <c r="H14" s="136">
        <f t="shared" si="4"/>
        <v>141.7</v>
      </c>
      <c r="I14" s="141" t="s">
        <v>242</v>
      </c>
      <c r="J14" s="136">
        <f t="shared" si="5"/>
        <v>2720</v>
      </c>
      <c r="K14" s="136">
        <f t="shared" si="6"/>
        <v>2834</v>
      </c>
      <c r="L14" s="136">
        <f t="shared" si="7"/>
        <v>114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42" t="s">
        <v>243</v>
      </c>
      <c r="B15" s="143">
        <f t="shared" ref="B15:D15" si="8">SUM(B5:B14)</f>
        <v>952</v>
      </c>
      <c r="C15" s="143">
        <f t="shared" si="8"/>
        <v>1028</v>
      </c>
      <c r="D15" s="143">
        <f t="shared" si="8"/>
        <v>998</v>
      </c>
      <c r="E15" s="143">
        <f t="shared" si="1"/>
        <v>30</v>
      </c>
      <c r="F15" s="144">
        <f t="shared" si="2"/>
        <v>0.9708171206</v>
      </c>
      <c r="G15" s="143">
        <f t="shared" ref="G15:H15" si="9">SUM(G5:G14)</f>
        <v>285.6</v>
      </c>
      <c r="H15" s="143">
        <f t="shared" si="9"/>
        <v>1237.6</v>
      </c>
      <c r="I15" s="145"/>
      <c r="J15" s="143">
        <f t="shared" ref="J15:K15" si="10">SUM(J5:J14)</f>
        <v>19960</v>
      </c>
      <c r="K15" s="143">
        <f t="shared" si="10"/>
        <v>24752</v>
      </c>
      <c r="L15" s="143">
        <f t="shared" si="7"/>
        <v>4792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26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mergeCells count="3">
    <mergeCell ref="A1:H1"/>
    <mergeCell ref="A2:H2"/>
    <mergeCell ref="A17:H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2026-05-29T20:23:45Z</dcterms:created>
  <dc:creator>openpyxl</dc:creator>
</cp:coreProperties>
</file>